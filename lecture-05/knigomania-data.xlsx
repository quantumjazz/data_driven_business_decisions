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hidePivotFieldList="1"/>
  <mc:AlternateContent xmlns:mc="http://schemas.openxmlformats.org/markup-compatibility/2006">
    <mc:Choice Requires="x15">
      <x15ac:absPath xmlns:x15ac="http://schemas.microsoft.com/office/spreadsheetml/2010/11/ac" url="/Users/victor/Documents/Courses/Data Driven Business Decisions/lecture-05/"/>
    </mc:Choice>
  </mc:AlternateContent>
  <xr:revisionPtr revIDLastSave="0" documentId="13_ncr:1_{9AB1DC0F-B42D-EB4A-B20B-E58B9565C95A}" xr6:coauthVersionLast="47" xr6:coauthVersionMax="47" xr10:uidLastSave="{00000000-0000-0000-0000-000000000000}"/>
  <bookViews>
    <workbookView xWindow="17980" yWindow="780" windowWidth="18020" windowHeight="21520" xr2:uid="{00000000-000D-0000-FFFF-FFFF00000000}"/>
  </bookViews>
  <sheets>
    <sheet name="Транзакции" sheetId="1" r:id="rId1"/>
    <sheet name="RFM Анализ" sheetId="2" r:id="rId2"/>
    <sheet name="Сегментация" sheetId="3" r:id="rId3"/>
  </sheets>
  <definedNames>
    <definedName name="_xlnm._FilterDatabase" localSheetId="0" hidden="1">Транзакции!$A$1:$G$1</definedName>
  </definedName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2" l="1"/>
  <c r="C36" i="2"/>
  <c r="C37" i="2"/>
  <c r="C38" i="2"/>
  <c r="C39" i="2"/>
  <c r="C35" i="2"/>
  <c r="C34" i="2"/>
  <c r="I2" i="1"/>
</calcChain>
</file>

<file path=xl/sharedStrings.xml><?xml version="1.0" encoding="utf-8"?>
<sst xmlns="http://schemas.openxmlformats.org/spreadsheetml/2006/main" count="860" uniqueCount="130">
  <si>
    <t>ID клиент</t>
  </si>
  <si>
    <t>Име</t>
  </si>
  <si>
    <t>Дата</t>
  </si>
  <si>
    <t>Категория</t>
  </si>
  <si>
    <t>Продукт</t>
  </si>
  <si>
    <t>Количество</t>
  </si>
  <si>
    <t>Стойност (лв.)</t>
  </si>
  <si>
    <t>C012</t>
  </si>
  <si>
    <t>Димитър Попов</t>
  </si>
  <si>
    <t>Учебници</t>
  </si>
  <si>
    <t>Езикови курсове</t>
  </si>
  <si>
    <t>C029</t>
  </si>
  <si>
    <t>Яна Благоева</t>
  </si>
  <si>
    <t>Детски книги</t>
  </si>
  <si>
    <t>Образователни</t>
  </si>
  <si>
    <t>C014</t>
  </si>
  <si>
    <t>Борис Христов</t>
  </si>
  <si>
    <t>Бизнес и финанси</t>
  </si>
  <si>
    <t>Мениджмънт</t>
  </si>
  <si>
    <t>C019</t>
  </si>
  <si>
    <t>Силвия Добрева</t>
  </si>
  <si>
    <t>Наука и технологии</t>
  </si>
  <si>
    <t>Математика</t>
  </si>
  <si>
    <t>Програмиране</t>
  </si>
  <si>
    <t>C025</t>
  </si>
  <si>
    <t>Цветелина Бояджиева</t>
  </si>
  <si>
    <t>Художествена литература</t>
  </si>
  <si>
    <t>Класика</t>
  </si>
  <si>
    <t>C030</t>
  </si>
  <si>
    <t>Емил Найденов</t>
  </si>
  <si>
    <t>AI и данни</t>
  </si>
  <si>
    <t>C006</t>
  </si>
  <si>
    <t>Иван Тодоров</t>
  </si>
  <si>
    <t>Популярна наука</t>
  </si>
  <si>
    <t>C009</t>
  </si>
  <si>
    <t>Надежда Маринова</t>
  </si>
  <si>
    <t>Предприемачество</t>
  </si>
  <si>
    <t>C017</t>
  </si>
  <si>
    <t>Теодора Колева</t>
  </si>
  <si>
    <t>Роман (превод)</t>
  </si>
  <si>
    <t>C026</t>
  </si>
  <si>
    <t>Пламен Димов</t>
  </si>
  <si>
    <t>Поезия</t>
  </si>
  <si>
    <t>Подготовка за изпити</t>
  </si>
  <si>
    <t>Тийнейджърски</t>
  </si>
  <si>
    <t>Лични финанси</t>
  </si>
  <si>
    <t>Приказки</t>
  </si>
  <si>
    <t>Маркетинг</t>
  </si>
  <si>
    <t>Университетски</t>
  </si>
  <si>
    <t>C022</t>
  </si>
  <si>
    <t>Валентин Савов</t>
  </si>
  <si>
    <t>C010</t>
  </si>
  <si>
    <t>Стоян Кирилов</t>
  </si>
  <si>
    <t>C027</t>
  </si>
  <si>
    <t>Габриела Златева</t>
  </si>
  <si>
    <t>C021</t>
  </si>
  <si>
    <t>Лилия Пенчева</t>
  </si>
  <si>
    <t>C023</t>
  </si>
  <si>
    <t>Мартина Белчева</t>
  </si>
  <si>
    <t>C003</t>
  </si>
  <si>
    <t>Елена Димитрова</t>
  </si>
  <si>
    <t>C016</t>
  </si>
  <si>
    <t>Николай Ангелов</t>
  </si>
  <si>
    <t>C007</t>
  </si>
  <si>
    <t>Десислава Георгиева</t>
  </si>
  <si>
    <t>C028</t>
  </si>
  <si>
    <t>Тихомир Русев</t>
  </si>
  <si>
    <t>C005</t>
  </si>
  <si>
    <t>Ана Николова</t>
  </si>
  <si>
    <t>C015</t>
  </si>
  <si>
    <t>Виктория Стефанова</t>
  </si>
  <si>
    <t>C018</t>
  </si>
  <si>
    <t>Александър Миланов</t>
  </si>
  <si>
    <t>C011</t>
  </si>
  <si>
    <t>Росица Атанасова</t>
  </si>
  <si>
    <t>C001</t>
  </si>
  <si>
    <t>Мария Иванова</t>
  </si>
  <si>
    <t>C004</t>
  </si>
  <si>
    <t>Петър Стоянов</t>
  </si>
  <si>
    <t>C002</t>
  </si>
  <si>
    <t>Георги Петров</t>
  </si>
  <si>
    <t>Роман (български автор)</t>
  </si>
  <si>
    <t>C024</t>
  </si>
  <si>
    <t>Радослав Генчев</t>
  </si>
  <si>
    <t>C013</t>
  </si>
  <si>
    <t>Калина Йорданова</t>
  </si>
  <si>
    <t>C008</t>
  </si>
  <si>
    <t>Христо Василев</t>
  </si>
  <si>
    <t>C020</t>
  </si>
  <si>
    <t>Красимир Цветков</t>
  </si>
  <si>
    <t>Последна покупка</t>
  </si>
  <si>
    <t>Дни от последна покупка (R)</t>
  </si>
  <si>
    <t>Брой покупки (F)</t>
  </si>
  <si>
    <t>Обща стойност (M)</t>
  </si>
  <si>
    <t>Сегмент</t>
  </si>
  <si>
    <t>← попълнете</t>
  </si>
  <si>
    <t>Описание</t>
  </si>
  <si>
    <t>Типичен RFM</t>
  </si>
  <si>
    <t>Брой клиенти</t>
  </si>
  <si>
    <t>% от клиенти</t>
  </si>
  <si>
    <t>Обща стойност (лв.)</t>
  </si>
  <si>
    <t>% от приходи</t>
  </si>
  <si>
    <t>Препоръчано действие</t>
  </si>
  <si>
    <t>Шампиони</t>
  </si>
  <si>
    <t>Купуват често, скоро, харчат много</t>
  </si>
  <si>
    <t>5-5-5, 5-5-4</t>
  </si>
  <si>
    <t>Наградете ги; програма за лоялност</t>
  </si>
  <si>
    <t>Лоялни</t>
  </si>
  <si>
    <t>Купуват редовно, средни суми</t>
  </si>
  <si>
    <t>4-4-4, 3-4-3</t>
  </si>
  <si>
    <t>Cross-sell; персонални препоръки</t>
  </si>
  <si>
    <t>Нови</t>
  </si>
  <si>
    <t>Скорошни клиенти, малко покупки</t>
  </si>
  <si>
    <t>5-1-1, 4-1-2</t>
  </si>
  <si>
    <t>Добре дошли оферта; въвеждащ имейл</t>
  </si>
  <si>
    <t>В риск</t>
  </si>
  <si>
    <t>Не са купували скоро, бяха активни</t>
  </si>
  <si>
    <t>2-3-3, 1-4-4</t>
  </si>
  <si>
    <t>Win-back кампания; отстъпка</t>
  </si>
  <si>
    <t>Загубени</t>
  </si>
  <si>
    <t>Отдавна не са купували, малко покупки</t>
  </si>
  <si>
    <t>1-1-1, 1-2-1</t>
  </si>
  <si>
    <t>Последен шанс оферта или преоценка</t>
  </si>
  <si>
    <t xml:space="preserve">R </t>
  </si>
  <si>
    <t xml:space="preserve">F </t>
  </si>
  <si>
    <t xml:space="preserve">M </t>
  </si>
  <si>
    <t xml:space="preserve">RFM </t>
  </si>
  <si>
    <t>Row Labels</t>
  </si>
  <si>
    <t>Grand Total</t>
  </si>
  <si>
    <t>Sum of Стойност (лв.)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</si>
</sst>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i/>
      <sz val="9"/>
      <color rgb="FF999999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4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Avramov" refreshedDate="46120.683346990743" createdVersion="8" refreshedVersion="8" minRefreshableVersion="3" recordCount="179" xr:uid="{97173093-D691-7A43-ABC6-4610D9E7CC29}">
  <cacheSource type="worksheet">
    <worksheetSource ref="A1:G180" sheet="Транзакции"/>
  </cacheSource>
  <cacheFields count="7">
    <cacheField name="ID клиент" numFmtId="0">
      <sharedItems/>
    </cacheField>
    <cacheField name="Име" numFmtId="0">
      <sharedItems count="30">
        <s v="Димитър Попов"/>
        <s v="Яна Благоева"/>
        <s v="Борис Христов"/>
        <s v="Силвия Добрева"/>
        <s v="Цветелина Бояджиева"/>
        <s v="Емил Найденов"/>
        <s v="Иван Тодоров"/>
        <s v="Надежда Маринова"/>
        <s v="Теодора Колева"/>
        <s v="Пламен Димов"/>
        <s v="Валентин Савов"/>
        <s v="Стоян Кирилов"/>
        <s v="Габриела Златева"/>
        <s v="Лилия Пенчева"/>
        <s v="Мартина Белчева"/>
        <s v="Елена Димитрова"/>
        <s v="Николай Ангелов"/>
        <s v="Десислава Георгиева"/>
        <s v="Тихомир Русев"/>
        <s v="Ана Николова"/>
        <s v="Виктория Стефанова"/>
        <s v="Александър Миланов"/>
        <s v="Росица Атанасова"/>
        <s v="Мария Иванова"/>
        <s v="Петър Стоянов"/>
        <s v="Георги Петров"/>
        <s v="Радослав Генчев"/>
        <s v="Калина Йорданова"/>
        <s v="Христо Василев"/>
        <s v="Красимир Цветков"/>
      </sharedItems>
    </cacheField>
    <cacheField name="Дата" numFmtId="164">
      <sharedItems containsSemiMixedTypes="0" containsNonDate="0" containsDate="1" containsString="0" minDate="2024-07-16T00:00:00" maxDate="2025-12-29T00:00:00"/>
    </cacheField>
    <cacheField name="Категория" numFmtId="0">
      <sharedItems/>
    </cacheField>
    <cacheField name="Продукт" numFmtId="0">
      <sharedItems/>
    </cacheField>
    <cacheField name="Количество" numFmtId="0">
      <sharedItems containsSemiMixedTypes="0" containsString="0" containsNumber="1" containsInteger="1" minValue="1" maxValue="3"/>
    </cacheField>
    <cacheField name="Стойност (лв.)" numFmtId="0">
      <sharedItems containsSemiMixedTypes="0" containsString="0" containsNumber="1" minValue="5.33" maxValue="181.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s v="C012"/>
    <x v="0"/>
    <d v="2024-07-16T00:00:00"/>
    <s v="Учебници"/>
    <s v="Езикови курсове"/>
    <n v="2"/>
    <n v="46.88"/>
  </r>
  <r>
    <s v="C029"/>
    <x v="1"/>
    <d v="2024-07-20T00:00:00"/>
    <s v="Детски книги"/>
    <s v="Образователни"/>
    <n v="3"/>
    <n v="35.880000000000003"/>
  </r>
  <r>
    <s v="C014"/>
    <x v="2"/>
    <d v="2024-08-04T00:00:00"/>
    <s v="Бизнес и финанси"/>
    <s v="Мениджмънт"/>
    <n v="3"/>
    <n v="74.22"/>
  </r>
  <r>
    <s v="C019"/>
    <x v="3"/>
    <d v="2024-08-05T00:00:00"/>
    <s v="Наука и технологии"/>
    <s v="Математика"/>
    <n v="1"/>
    <n v="30.1"/>
  </r>
  <r>
    <s v="C014"/>
    <x v="2"/>
    <d v="2024-08-10T00:00:00"/>
    <s v="Наука и технологии"/>
    <s v="Програмиране"/>
    <n v="3"/>
    <n v="89.13"/>
  </r>
  <r>
    <s v="C025"/>
    <x v="4"/>
    <d v="2024-08-14T00:00:00"/>
    <s v="Художествена литература"/>
    <s v="Класика"/>
    <n v="1"/>
    <n v="14.02"/>
  </r>
  <r>
    <s v="C030"/>
    <x v="5"/>
    <d v="2024-08-17T00:00:00"/>
    <s v="Наука и технологии"/>
    <s v="AI и данни"/>
    <n v="1"/>
    <n v="22.27"/>
  </r>
  <r>
    <s v="C014"/>
    <x v="2"/>
    <d v="2024-08-19T00:00:00"/>
    <s v="Художествена литература"/>
    <s v="Класика"/>
    <n v="2"/>
    <n v="42.32"/>
  </r>
  <r>
    <s v="C006"/>
    <x v="6"/>
    <d v="2024-08-21T00:00:00"/>
    <s v="Бизнес и финанси"/>
    <s v="Мениджмънт"/>
    <n v="2"/>
    <n v="43.26"/>
  </r>
  <r>
    <s v="C014"/>
    <x v="2"/>
    <d v="2024-08-21T00:00:00"/>
    <s v="Наука и технологии"/>
    <s v="Популярна наука"/>
    <n v="3"/>
    <n v="99.9"/>
  </r>
  <r>
    <s v="C009"/>
    <x v="7"/>
    <d v="2024-08-23T00:00:00"/>
    <s v="Бизнес и финанси"/>
    <s v="Предприемачество"/>
    <n v="1"/>
    <n v="18"/>
  </r>
  <r>
    <s v="C012"/>
    <x v="0"/>
    <d v="2024-08-28T00:00:00"/>
    <s v="Наука и технологии"/>
    <s v="Математика"/>
    <n v="1"/>
    <n v="23.17"/>
  </r>
  <r>
    <s v="C017"/>
    <x v="8"/>
    <d v="2024-08-30T00:00:00"/>
    <s v="Художествена литература"/>
    <s v="Роман (превод)"/>
    <n v="1"/>
    <n v="14.78"/>
  </r>
  <r>
    <s v="C026"/>
    <x v="9"/>
    <d v="2024-09-02T00:00:00"/>
    <s v="Художествена литература"/>
    <s v="Поезия"/>
    <n v="2"/>
    <n v="17.04"/>
  </r>
  <r>
    <s v="C019"/>
    <x v="3"/>
    <d v="2024-09-19T00:00:00"/>
    <s v="Учебници"/>
    <s v="Подготовка за изпити"/>
    <n v="2"/>
    <n v="48.9"/>
  </r>
  <r>
    <s v="C017"/>
    <x v="8"/>
    <d v="2024-09-22T00:00:00"/>
    <s v="Детски книги"/>
    <s v="Тийнейджърски"/>
    <n v="1"/>
    <n v="5.33"/>
  </r>
  <r>
    <s v="C029"/>
    <x v="1"/>
    <d v="2024-09-23T00:00:00"/>
    <s v="Наука и технологии"/>
    <s v="Математика"/>
    <n v="1"/>
    <n v="30.8"/>
  </r>
  <r>
    <s v="C006"/>
    <x v="6"/>
    <d v="2024-09-28T00:00:00"/>
    <s v="Бизнес и финанси"/>
    <s v="Лични финанси"/>
    <n v="1"/>
    <n v="16.66"/>
  </r>
  <r>
    <s v="C025"/>
    <x v="4"/>
    <d v="2024-09-28T00:00:00"/>
    <s v="Художествена литература"/>
    <s v="Роман (превод)"/>
    <n v="1"/>
    <n v="18.54"/>
  </r>
  <r>
    <s v="C006"/>
    <x v="6"/>
    <d v="2024-09-29T00:00:00"/>
    <s v="Детски книги"/>
    <s v="Приказки"/>
    <n v="1"/>
    <n v="11.76"/>
  </r>
  <r>
    <s v="C029"/>
    <x v="1"/>
    <d v="2024-09-30T00:00:00"/>
    <s v="Детски книги"/>
    <s v="Приказки"/>
    <n v="1"/>
    <n v="17.55"/>
  </r>
  <r>
    <s v="C006"/>
    <x v="6"/>
    <d v="2024-10-02T00:00:00"/>
    <s v="Художествена литература"/>
    <s v="Поезия"/>
    <n v="1"/>
    <n v="20.329999999999998"/>
  </r>
  <r>
    <s v="C006"/>
    <x v="6"/>
    <d v="2024-10-03T00:00:00"/>
    <s v="Детски книги"/>
    <s v="Тийнейджърски"/>
    <n v="1"/>
    <n v="11.85"/>
  </r>
  <r>
    <s v="C009"/>
    <x v="7"/>
    <d v="2024-10-03T00:00:00"/>
    <s v="Учебници"/>
    <s v="Езикови курсове"/>
    <n v="1"/>
    <n v="30.63"/>
  </r>
  <r>
    <s v="C025"/>
    <x v="4"/>
    <d v="2024-10-10T00:00:00"/>
    <s v="Детски книги"/>
    <s v="Образователни"/>
    <n v="2"/>
    <n v="26.46"/>
  </r>
  <r>
    <s v="C006"/>
    <x v="6"/>
    <d v="2024-10-13T00:00:00"/>
    <s v="Бизнес и финанси"/>
    <s v="Маркетинг"/>
    <n v="2"/>
    <n v="54.76"/>
  </r>
  <r>
    <s v="C019"/>
    <x v="3"/>
    <d v="2024-10-31T00:00:00"/>
    <s v="Бизнес и финанси"/>
    <s v="Предприемачество"/>
    <n v="3"/>
    <n v="51.57"/>
  </r>
  <r>
    <s v="C019"/>
    <x v="3"/>
    <d v="2024-11-05T00:00:00"/>
    <s v="Учебници"/>
    <s v="Университетски"/>
    <n v="1"/>
    <n v="25.49"/>
  </r>
  <r>
    <s v="C012"/>
    <x v="0"/>
    <d v="2024-11-10T00:00:00"/>
    <s v="Учебници"/>
    <s v="Подготовка за изпити"/>
    <n v="2"/>
    <n v="40.74"/>
  </r>
  <r>
    <s v="C025"/>
    <x v="4"/>
    <d v="2024-11-12T00:00:00"/>
    <s v="Учебници"/>
    <s v="Университетски"/>
    <n v="2"/>
    <n v="37.200000000000003"/>
  </r>
  <r>
    <s v="C022"/>
    <x v="10"/>
    <d v="2024-12-26T00:00:00"/>
    <s v="Бизнес и финанси"/>
    <s v="Мениджмънт"/>
    <n v="1"/>
    <n v="17.11"/>
  </r>
  <r>
    <s v="C009"/>
    <x v="7"/>
    <d v="2024-12-27T00:00:00"/>
    <s v="Учебници"/>
    <s v="Университетски"/>
    <n v="1"/>
    <n v="29.8"/>
  </r>
  <r>
    <s v="C019"/>
    <x v="3"/>
    <d v="2024-12-29T00:00:00"/>
    <s v="Учебници"/>
    <s v="Университетски"/>
    <n v="2"/>
    <n v="59.7"/>
  </r>
  <r>
    <s v="C009"/>
    <x v="7"/>
    <d v="2025-01-14T00:00:00"/>
    <s v="Учебници"/>
    <s v="Подготовка за изпити"/>
    <n v="1"/>
    <n v="38.31"/>
  </r>
  <r>
    <s v="C009"/>
    <x v="7"/>
    <d v="2025-02-03T00:00:00"/>
    <s v="Наука и технологии"/>
    <s v="AI и данни"/>
    <n v="1"/>
    <n v="21.89"/>
  </r>
  <r>
    <s v="C022"/>
    <x v="10"/>
    <d v="2025-02-14T00:00:00"/>
    <s v="Художествена литература"/>
    <s v="Роман (превод)"/>
    <n v="2"/>
    <n v="27.86"/>
  </r>
  <r>
    <s v="C010"/>
    <x v="11"/>
    <d v="2025-04-23T00:00:00"/>
    <s v="Учебници"/>
    <s v="Подготовка за изпити"/>
    <n v="3"/>
    <n v="181.47"/>
  </r>
  <r>
    <s v="C027"/>
    <x v="12"/>
    <d v="2025-05-13T00:00:00"/>
    <s v="Художествена литература"/>
    <s v="Класика"/>
    <n v="3"/>
    <n v="48.18"/>
  </r>
  <r>
    <s v="C021"/>
    <x v="13"/>
    <d v="2025-05-15T00:00:00"/>
    <s v="Детски книги"/>
    <s v="Тийнейджърски"/>
    <n v="1"/>
    <n v="11.85"/>
  </r>
  <r>
    <s v="C010"/>
    <x v="11"/>
    <d v="2025-05-18T00:00:00"/>
    <s v="Детски книги"/>
    <s v="Тийнейджърски"/>
    <n v="2"/>
    <n v="45.82"/>
  </r>
  <r>
    <s v="C023"/>
    <x v="14"/>
    <d v="2025-06-13T00:00:00"/>
    <s v="Художествена литература"/>
    <s v="Поезия"/>
    <n v="1"/>
    <n v="24.53"/>
  </r>
  <r>
    <s v="C003"/>
    <x v="15"/>
    <d v="2025-06-21T00:00:00"/>
    <s v="Бизнес и финанси"/>
    <s v="Лични финанси"/>
    <n v="1"/>
    <n v="33.75"/>
  </r>
  <r>
    <s v="C016"/>
    <x v="16"/>
    <d v="2025-06-24T00:00:00"/>
    <s v="Бизнес и финанси"/>
    <s v="Маркетинг"/>
    <n v="1"/>
    <n v="33.299999999999997"/>
  </r>
  <r>
    <s v="C023"/>
    <x v="14"/>
    <d v="2025-06-26T00:00:00"/>
    <s v="Художествена литература"/>
    <s v="Роман (превод)"/>
    <n v="3"/>
    <n v="55.98"/>
  </r>
  <r>
    <s v="C007"/>
    <x v="17"/>
    <d v="2025-06-30T00:00:00"/>
    <s v="Художествена литература"/>
    <s v="Поезия"/>
    <n v="2"/>
    <n v="38.159999999999997"/>
  </r>
  <r>
    <s v="C003"/>
    <x v="15"/>
    <d v="2025-07-04T00:00:00"/>
    <s v="Учебници"/>
    <s v="Университетски"/>
    <n v="1"/>
    <n v="28.88"/>
  </r>
  <r>
    <s v="C016"/>
    <x v="16"/>
    <d v="2025-07-10T00:00:00"/>
    <s v="Детски книги"/>
    <s v="Образователни"/>
    <n v="2"/>
    <n v="34.82"/>
  </r>
  <r>
    <s v="C021"/>
    <x v="13"/>
    <d v="2025-07-14T00:00:00"/>
    <s v="Детски книги"/>
    <s v="Тийнейджърски"/>
    <n v="1"/>
    <n v="19.09"/>
  </r>
  <r>
    <s v="C028"/>
    <x v="18"/>
    <d v="2025-07-22T00:00:00"/>
    <s v="Бизнес и финанси"/>
    <s v="Мениджмънт"/>
    <n v="1"/>
    <n v="21.78"/>
  </r>
  <r>
    <s v="C010"/>
    <x v="11"/>
    <d v="2025-07-29T00:00:00"/>
    <s v="Наука и технологии"/>
    <s v="AI и данни"/>
    <n v="2"/>
    <n v="76.239999999999995"/>
  </r>
  <r>
    <s v="C021"/>
    <x v="13"/>
    <d v="2025-08-03T00:00:00"/>
    <s v="Наука и технологии"/>
    <s v="Популярна наука"/>
    <n v="1"/>
    <n v="25.87"/>
  </r>
  <r>
    <s v="C003"/>
    <x v="15"/>
    <d v="2025-08-11T00:00:00"/>
    <s v="Учебници"/>
    <s v="Подготовка за изпити"/>
    <n v="1"/>
    <n v="36.11"/>
  </r>
  <r>
    <s v="C005"/>
    <x v="19"/>
    <d v="2025-08-14T00:00:00"/>
    <s v="Учебници"/>
    <s v="Езикови курсове"/>
    <n v="1"/>
    <n v="45.47"/>
  </r>
  <r>
    <s v="C016"/>
    <x v="16"/>
    <d v="2025-08-14T00:00:00"/>
    <s v="Детски книги"/>
    <s v="Приказки"/>
    <n v="2"/>
    <n v="18.78"/>
  </r>
  <r>
    <s v="C015"/>
    <x v="20"/>
    <d v="2025-08-15T00:00:00"/>
    <s v="Бизнес и финанси"/>
    <s v="Предприемачество"/>
    <n v="3"/>
    <n v="112.5"/>
  </r>
  <r>
    <s v="C016"/>
    <x v="16"/>
    <d v="2025-08-19T00:00:00"/>
    <s v="Учебници"/>
    <s v="Езикови курсове"/>
    <n v="3"/>
    <n v="94.92"/>
  </r>
  <r>
    <s v="C016"/>
    <x v="16"/>
    <d v="2025-08-19T00:00:00"/>
    <s v="Художествена литература"/>
    <s v="Класика"/>
    <n v="1"/>
    <n v="15.39"/>
  </r>
  <r>
    <s v="C007"/>
    <x v="17"/>
    <d v="2025-08-20T00:00:00"/>
    <s v="Художествена литература"/>
    <s v="Роман (превод)"/>
    <n v="1"/>
    <n v="21.33"/>
  </r>
  <r>
    <s v="C023"/>
    <x v="14"/>
    <d v="2025-08-23T00:00:00"/>
    <s v="Детски книги"/>
    <s v="Образователни"/>
    <n v="2"/>
    <n v="38.520000000000003"/>
  </r>
  <r>
    <s v="C018"/>
    <x v="21"/>
    <d v="2025-08-24T00:00:00"/>
    <s v="Наука и технологии"/>
    <s v="Програмиране"/>
    <n v="1"/>
    <n v="61.06"/>
  </r>
  <r>
    <s v="C005"/>
    <x v="19"/>
    <d v="2025-08-25T00:00:00"/>
    <s v="Учебници"/>
    <s v="Езикови курсове"/>
    <n v="1"/>
    <n v="43.69"/>
  </r>
  <r>
    <s v="C003"/>
    <x v="15"/>
    <d v="2025-08-27T00:00:00"/>
    <s v="Наука и технологии"/>
    <s v="AI и данни"/>
    <n v="1"/>
    <n v="43.22"/>
  </r>
  <r>
    <s v="C023"/>
    <x v="14"/>
    <d v="2025-08-29T00:00:00"/>
    <s v="Детски книги"/>
    <s v="Приказки"/>
    <n v="1"/>
    <n v="10.92"/>
  </r>
  <r>
    <s v="C018"/>
    <x v="21"/>
    <d v="2025-09-04T00:00:00"/>
    <s v="Учебници"/>
    <s v="Подготовка за изпити"/>
    <n v="1"/>
    <n v="46.81"/>
  </r>
  <r>
    <s v="C010"/>
    <x v="11"/>
    <d v="2025-09-09T00:00:00"/>
    <s v="Детски книги"/>
    <s v="Тийнейджърски"/>
    <n v="2"/>
    <n v="17.64"/>
  </r>
  <r>
    <s v="C018"/>
    <x v="21"/>
    <d v="2025-09-11T00:00:00"/>
    <s v="Учебници"/>
    <s v="Подготовка за изпити"/>
    <n v="1"/>
    <n v="74.180000000000007"/>
  </r>
  <r>
    <s v="C011"/>
    <x v="22"/>
    <d v="2025-09-14T00:00:00"/>
    <s v="Учебници"/>
    <s v="Университетски"/>
    <n v="1"/>
    <n v="25.02"/>
  </r>
  <r>
    <s v="C001"/>
    <x v="23"/>
    <d v="2025-09-20T00:00:00"/>
    <s v="Наука и технологии"/>
    <s v="Програмиране"/>
    <n v="1"/>
    <n v="31.49"/>
  </r>
  <r>
    <s v="C004"/>
    <x v="24"/>
    <d v="2025-09-20T00:00:00"/>
    <s v="Детски книги"/>
    <s v="Тийнейджърски"/>
    <n v="2"/>
    <n v="24.5"/>
  </r>
  <r>
    <s v="C002"/>
    <x v="25"/>
    <d v="2025-09-21T00:00:00"/>
    <s v="Художествена литература"/>
    <s v="Роман (български автор)"/>
    <n v="1"/>
    <n v="26.14"/>
  </r>
  <r>
    <s v="C024"/>
    <x v="26"/>
    <d v="2025-09-21T00:00:00"/>
    <s v="Учебници"/>
    <s v="Университетски"/>
    <n v="2"/>
    <n v="63.14"/>
  </r>
  <r>
    <s v="C003"/>
    <x v="15"/>
    <d v="2025-09-22T00:00:00"/>
    <s v="Бизнес и финанси"/>
    <s v="Маркетинг"/>
    <n v="2"/>
    <n v="40.700000000000003"/>
  </r>
  <r>
    <s v="C007"/>
    <x v="17"/>
    <d v="2025-09-22T00:00:00"/>
    <s v="Наука и технологии"/>
    <s v="Популярна наука"/>
    <n v="1"/>
    <n v="36.19"/>
  </r>
  <r>
    <s v="C007"/>
    <x v="17"/>
    <d v="2025-09-23T00:00:00"/>
    <s v="Наука и технологии"/>
    <s v="Математика"/>
    <n v="1"/>
    <n v="29.73"/>
  </r>
  <r>
    <s v="C018"/>
    <x v="21"/>
    <d v="2025-09-24T00:00:00"/>
    <s v="Бизнес и финанси"/>
    <s v="Предприемачество"/>
    <n v="1"/>
    <n v="55.42"/>
  </r>
  <r>
    <s v="C021"/>
    <x v="13"/>
    <d v="2025-09-24T00:00:00"/>
    <s v="Наука и технологии"/>
    <s v="Математика"/>
    <n v="2"/>
    <n v="81.680000000000007"/>
  </r>
  <r>
    <s v="C004"/>
    <x v="24"/>
    <d v="2025-09-25T00:00:00"/>
    <s v="Наука и технологии"/>
    <s v="Популярна наука"/>
    <n v="1"/>
    <n v="37.29"/>
  </r>
  <r>
    <s v="C001"/>
    <x v="23"/>
    <d v="2025-09-26T00:00:00"/>
    <s v="Учебници"/>
    <s v="Подготовка за изпити"/>
    <n v="3"/>
    <n v="167.58"/>
  </r>
  <r>
    <s v="C010"/>
    <x v="11"/>
    <d v="2025-09-30T00:00:00"/>
    <s v="Детски книги"/>
    <s v="Приказки"/>
    <n v="1"/>
    <n v="22.5"/>
  </r>
  <r>
    <s v="C018"/>
    <x v="21"/>
    <d v="2025-09-30T00:00:00"/>
    <s v="Наука и технологии"/>
    <s v="Математика"/>
    <n v="2"/>
    <n v="127.58"/>
  </r>
  <r>
    <s v="C013"/>
    <x v="27"/>
    <d v="2025-10-01T00:00:00"/>
    <s v="Наука и технологии"/>
    <s v="Популярна наука"/>
    <n v="2"/>
    <n v="83.16"/>
  </r>
  <r>
    <s v="C013"/>
    <x v="27"/>
    <d v="2025-10-06T00:00:00"/>
    <s v="Учебници"/>
    <s v="Езикови курсове"/>
    <n v="1"/>
    <n v="62.75"/>
  </r>
  <r>
    <s v="C021"/>
    <x v="13"/>
    <d v="2025-10-07T00:00:00"/>
    <s v="Учебници"/>
    <s v="Подготовка за изпити"/>
    <n v="2"/>
    <n v="87.48"/>
  </r>
  <r>
    <s v="C001"/>
    <x v="23"/>
    <d v="2025-10-11T00:00:00"/>
    <s v="Детски книги"/>
    <s v="Тийнейджърски"/>
    <n v="1"/>
    <n v="20.47"/>
  </r>
  <r>
    <s v="C005"/>
    <x v="19"/>
    <d v="2025-10-12T00:00:00"/>
    <s v="Наука и технологии"/>
    <s v="Математика"/>
    <n v="1"/>
    <n v="61.45"/>
  </r>
  <r>
    <s v="C016"/>
    <x v="16"/>
    <d v="2025-10-13T00:00:00"/>
    <s v="Художествена литература"/>
    <s v="Поезия"/>
    <n v="2"/>
    <n v="28.64"/>
  </r>
  <r>
    <s v="C018"/>
    <x v="21"/>
    <d v="2025-10-13T00:00:00"/>
    <s v="Детски книги"/>
    <s v="Тийнейджърски"/>
    <n v="3"/>
    <n v="93.39"/>
  </r>
  <r>
    <s v="C001"/>
    <x v="23"/>
    <d v="2025-10-15T00:00:00"/>
    <s v="Учебници"/>
    <s v="Университетски"/>
    <n v="3"/>
    <n v="141.78"/>
  </r>
  <r>
    <s v="C027"/>
    <x v="12"/>
    <d v="2025-10-15T00:00:00"/>
    <s v="Бизнес и финанси"/>
    <s v="Лични финанси"/>
    <n v="1"/>
    <n v="30.3"/>
  </r>
  <r>
    <s v="C013"/>
    <x v="27"/>
    <d v="2025-10-16T00:00:00"/>
    <s v="Художествена литература"/>
    <s v="Класика"/>
    <n v="3"/>
    <n v="108.42"/>
  </r>
  <r>
    <s v="C005"/>
    <x v="19"/>
    <d v="2025-10-17T00:00:00"/>
    <s v="Учебници"/>
    <s v="Университетски"/>
    <n v="1"/>
    <n v="72.22"/>
  </r>
  <r>
    <s v="C005"/>
    <x v="19"/>
    <d v="2025-10-17T00:00:00"/>
    <s v="Бизнес и финанси"/>
    <s v="Мениджмънт"/>
    <n v="2"/>
    <n v="98.58"/>
  </r>
  <r>
    <s v="C010"/>
    <x v="11"/>
    <d v="2025-10-17T00:00:00"/>
    <s v="Наука и технологии"/>
    <s v="Математика"/>
    <n v="1"/>
    <n v="36.06"/>
  </r>
  <r>
    <s v="C002"/>
    <x v="25"/>
    <d v="2025-10-19T00:00:00"/>
    <s v="Художествена литература"/>
    <s v="Роман (български автор)"/>
    <n v="2"/>
    <n v="53"/>
  </r>
  <r>
    <s v="C004"/>
    <x v="24"/>
    <d v="2025-10-19T00:00:00"/>
    <s v="Детски книги"/>
    <s v="Образователни"/>
    <n v="1"/>
    <n v="19.13"/>
  </r>
  <r>
    <s v="C008"/>
    <x v="28"/>
    <d v="2025-10-19T00:00:00"/>
    <s v="Детски книги"/>
    <s v="Приказки"/>
    <n v="2"/>
    <n v="27.22"/>
  </r>
  <r>
    <s v="C003"/>
    <x v="15"/>
    <d v="2025-10-20T00:00:00"/>
    <s v="Художествена литература"/>
    <s v="Поезия"/>
    <n v="2"/>
    <n v="57.52"/>
  </r>
  <r>
    <s v="C018"/>
    <x v="21"/>
    <d v="2025-10-20T00:00:00"/>
    <s v="Детски книги"/>
    <s v="Образователни"/>
    <n v="2"/>
    <n v="44.14"/>
  </r>
  <r>
    <s v="C002"/>
    <x v="25"/>
    <d v="2025-10-21T00:00:00"/>
    <s v="Наука и технологии"/>
    <s v="Популярна наука"/>
    <n v="1"/>
    <n v="63.29"/>
  </r>
  <r>
    <s v="C004"/>
    <x v="24"/>
    <d v="2025-10-21T00:00:00"/>
    <s v="Бизнес и финанси"/>
    <s v="Лични финанси"/>
    <n v="1"/>
    <n v="32.03"/>
  </r>
  <r>
    <s v="C013"/>
    <x v="27"/>
    <d v="2025-10-21T00:00:00"/>
    <s v="Наука и технологии"/>
    <s v="Математика"/>
    <n v="1"/>
    <n v="44.85"/>
  </r>
  <r>
    <s v="C027"/>
    <x v="12"/>
    <d v="2025-10-21T00:00:00"/>
    <s v="Учебници"/>
    <s v="Езикови курсове"/>
    <n v="1"/>
    <n v="50.1"/>
  </r>
  <r>
    <s v="C013"/>
    <x v="27"/>
    <d v="2025-10-22T00:00:00"/>
    <s v="Учебници"/>
    <s v="Подготовка за изпити"/>
    <n v="2"/>
    <n v="78.260000000000005"/>
  </r>
  <r>
    <s v="C002"/>
    <x v="25"/>
    <d v="2025-10-23T00:00:00"/>
    <s v="Детски книги"/>
    <s v="Приказки"/>
    <n v="1"/>
    <n v="12.05"/>
  </r>
  <r>
    <s v="C018"/>
    <x v="21"/>
    <d v="2025-10-26T00:00:00"/>
    <s v="Детски книги"/>
    <s v="Образователни"/>
    <n v="1"/>
    <n v="15.22"/>
  </r>
  <r>
    <s v="C005"/>
    <x v="19"/>
    <d v="2025-10-28T00:00:00"/>
    <s v="Учебници"/>
    <s v="Подготовка за изпити"/>
    <n v="1"/>
    <n v="62"/>
  </r>
  <r>
    <s v="C023"/>
    <x v="14"/>
    <d v="2025-10-28T00:00:00"/>
    <s v="Учебници"/>
    <s v="Университетски"/>
    <n v="2"/>
    <n v="82.94"/>
  </r>
  <r>
    <s v="C003"/>
    <x v="15"/>
    <d v="2025-10-30T00:00:00"/>
    <s v="Учебници"/>
    <s v="Университетски"/>
    <n v="1"/>
    <n v="58.69"/>
  </r>
  <r>
    <s v="C008"/>
    <x v="28"/>
    <d v="2025-10-30T00:00:00"/>
    <s v="Художествена литература"/>
    <s v="Поезия"/>
    <n v="2"/>
    <n v="28.04"/>
  </r>
  <r>
    <s v="C016"/>
    <x v="16"/>
    <d v="2025-10-31T00:00:00"/>
    <s v="Учебници"/>
    <s v="Езикови курсове"/>
    <n v="1"/>
    <n v="46.8"/>
  </r>
  <r>
    <s v="C001"/>
    <x v="23"/>
    <d v="2025-11-01T00:00:00"/>
    <s v="Художествена литература"/>
    <s v="Класика"/>
    <n v="1"/>
    <n v="28.82"/>
  </r>
  <r>
    <s v="C001"/>
    <x v="23"/>
    <d v="2025-11-01T00:00:00"/>
    <s v="Художествена литература"/>
    <s v="Роман (превод)"/>
    <n v="1"/>
    <n v="20.69"/>
  </r>
  <r>
    <s v="C028"/>
    <x v="18"/>
    <d v="2025-11-01T00:00:00"/>
    <s v="Бизнес и финанси"/>
    <s v="Лични финанси"/>
    <n v="1"/>
    <n v="30.26"/>
  </r>
  <r>
    <s v="C002"/>
    <x v="25"/>
    <d v="2025-11-02T00:00:00"/>
    <s v="Учебници"/>
    <s v="Университетски"/>
    <n v="2"/>
    <n v="154.41999999999999"/>
  </r>
  <r>
    <s v="C018"/>
    <x v="21"/>
    <d v="2025-11-02T00:00:00"/>
    <s v="Детски книги"/>
    <s v="Приказки"/>
    <n v="2"/>
    <n v="30.72"/>
  </r>
  <r>
    <s v="C005"/>
    <x v="19"/>
    <d v="2025-11-05T00:00:00"/>
    <s v="Бизнес и финанси"/>
    <s v="Предприемачество"/>
    <n v="1"/>
    <n v="46.51"/>
  </r>
  <r>
    <s v="C001"/>
    <x v="23"/>
    <d v="2025-11-06T00:00:00"/>
    <s v="Наука и технологии"/>
    <s v="Популярна наука"/>
    <n v="2"/>
    <n v="80.86"/>
  </r>
  <r>
    <s v="C013"/>
    <x v="27"/>
    <d v="2025-11-06T00:00:00"/>
    <s v="Бизнес и финанси"/>
    <s v="Мениджмънт"/>
    <n v="1"/>
    <n v="48.6"/>
  </r>
  <r>
    <s v="C001"/>
    <x v="23"/>
    <d v="2025-11-07T00:00:00"/>
    <s v="Учебници"/>
    <s v="Университетски"/>
    <n v="2"/>
    <n v="68.58"/>
  </r>
  <r>
    <s v="C004"/>
    <x v="24"/>
    <d v="2025-11-07T00:00:00"/>
    <s v="Бизнес и финанси"/>
    <s v="Лични финанси"/>
    <n v="1"/>
    <n v="36.979999999999997"/>
  </r>
  <r>
    <s v="C002"/>
    <x v="25"/>
    <d v="2025-11-08T00:00:00"/>
    <s v="Художествена литература"/>
    <s v="Поезия"/>
    <n v="1"/>
    <n v="31.29"/>
  </r>
  <r>
    <s v="C005"/>
    <x v="19"/>
    <d v="2025-11-08T00:00:00"/>
    <s v="Учебници"/>
    <s v="Подготовка за изпити"/>
    <n v="2"/>
    <n v="105.84"/>
  </r>
  <r>
    <s v="C007"/>
    <x v="17"/>
    <d v="2025-11-08T00:00:00"/>
    <s v="Учебници"/>
    <s v="Университетски"/>
    <n v="1"/>
    <n v="36.880000000000003"/>
  </r>
  <r>
    <s v="C007"/>
    <x v="17"/>
    <d v="2025-11-08T00:00:00"/>
    <s v="Детски книги"/>
    <s v="Тийнейджърски"/>
    <n v="2"/>
    <n v="34.26"/>
  </r>
  <r>
    <s v="C013"/>
    <x v="27"/>
    <d v="2025-11-10T00:00:00"/>
    <s v="Наука и технологии"/>
    <s v="Програмиране"/>
    <n v="2"/>
    <n v="83.54"/>
  </r>
  <r>
    <s v="C018"/>
    <x v="21"/>
    <d v="2025-11-11T00:00:00"/>
    <s v="Детски книги"/>
    <s v="Тийнейджърски"/>
    <n v="1"/>
    <n v="19.239999999999998"/>
  </r>
  <r>
    <s v="C003"/>
    <x v="15"/>
    <d v="2025-11-12T00:00:00"/>
    <s v="Наука и технологии"/>
    <s v="Популярна наука"/>
    <n v="3"/>
    <n v="139.47"/>
  </r>
  <r>
    <s v="C018"/>
    <x v="21"/>
    <d v="2025-11-12T00:00:00"/>
    <s v="Бизнес и финанси"/>
    <s v="Мениджмънт"/>
    <n v="2"/>
    <n v="115.76"/>
  </r>
  <r>
    <s v="C005"/>
    <x v="19"/>
    <d v="2025-11-13T00:00:00"/>
    <s v="Учебници"/>
    <s v="Езикови курсове"/>
    <n v="1"/>
    <n v="74.599999999999994"/>
  </r>
  <r>
    <s v="C007"/>
    <x v="17"/>
    <d v="2025-11-14T00:00:00"/>
    <s v="Бизнес и финанси"/>
    <s v="Маркетинг"/>
    <n v="1"/>
    <n v="33.22"/>
  </r>
  <r>
    <s v="C027"/>
    <x v="12"/>
    <d v="2025-11-14T00:00:00"/>
    <s v="Детски книги"/>
    <s v="Образователни"/>
    <n v="2"/>
    <n v="41.36"/>
  </r>
  <r>
    <s v="C002"/>
    <x v="25"/>
    <d v="2025-11-15T00:00:00"/>
    <s v="Бизнес и финанси"/>
    <s v="Предприемачество"/>
    <n v="3"/>
    <n v="95.85"/>
  </r>
  <r>
    <s v="C015"/>
    <x v="20"/>
    <d v="2025-11-15T00:00:00"/>
    <s v="Художествена литература"/>
    <s v="Поезия"/>
    <n v="1"/>
    <n v="20.51"/>
  </r>
  <r>
    <s v="C005"/>
    <x v="19"/>
    <d v="2025-11-17T00:00:00"/>
    <s v="Детски книги"/>
    <s v="Тийнейджърски"/>
    <n v="1"/>
    <n v="20.36"/>
  </r>
  <r>
    <s v="C010"/>
    <x v="11"/>
    <d v="2025-11-17T00:00:00"/>
    <s v="Художествена литература"/>
    <s v="Класика"/>
    <n v="1"/>
    <n v="19.07"/>
  </r>
  <r>
    <s v="C027"/>
    <x v="12"/>
    <d v="2025-11-17T00:00:00"/>
    <s v="Наука и технологии"/>
    <s v="Програмиране"/>
    <n v="3"/>
    <n v="103.53"/>
  </r>
  <r>
    <s v="C020"/>
    <x v="29"/>
    <d v="2025-11-18T00:00:00"/>
    <s v="Наука и технологии"/>
    <s v="Програмиране"/>
    <n v="1"/>
    <n v="19.55"/>
  </r>
  <r>
    <s v="C027"/>
    <x v="12"/>
    <d v="2025-11-18T00:00:00"/>
    <s v="Детски книги"/>
    <s v="Тийнейджърски"/>
    <n v="1"/>
    <n v="9.89"/>
  </r>
  <r>
    <s v="C004"/>
    <x v="24"/>
    <d v="2025-11-19T00:00:00"/>
    <s v="Детски книги"/>
    <s v="Образователни"/>
    <n v="2"/>
    <n v="30.32"/>
  </r>
  <r>
    <s v="C007"/>
    <x v="17"/>
    <d v="2025-11-19T00:00:00"/>
    <s v="Учебници"/>
    <s v="Подготовка за изпити"/>
    <n v="2"/>
    <n v="93.48"/>
  </r>
  <r>
    <s v="C013"/>
    <x v="27"/>
    <d v="2025-11-19T00:00:00"/>
    <s v="Учебници"/>
    <s v="Езикови курсове"/>
    <n v="3"/>
    <n v="170.85"/>
  </r>
  <r>
    <s v="C018"/>
    <x v="21"/>
    <d v="2025-11-20T00:00:00"/>
    <s v="Детски книги"/>
    <s v="Приказки"/>
    <n v="2"/>
    <n v="41.28"/>
  </r>
  <r>
    <s v="C002"/>
    <x v="25"/>
    <d v="2025-11-21T00:00:00"/>
    <s v="Наука и технологии"/>
    <s v="Програмиране"/>
    <n v="1"/>
    <n v="49.45"/>
  </r>
  <r>
    <s v="C008"/>
    <x v="28"/>
    <d v="2025-11-23T00:00:00"/>
    <s v="Учебници"/>
    <s v="Езикови курсове"/>
    <n v="1"/>
    <n v="32.450000000000003"/>
  </r>
  <r>
    <s v="C015"/>
    <x v="20"/>
    <d v="2025-11-23T00:00:00"/>
    <s v="Бизнес и финанси"/>
    <s v="Лични финанси"/>
    <n v="3"/>
    <n v="121.71"/>
  </r>
  <r>
    <s v="C021"/>
    <x v="13"/>
    <d v="2025-11-23T00:00:00"/>
    <s v="Художествена литература"/>
    <s v="Роман (превод)"/>
    <n v="3"/>
    <n v="66.150000000000006"/>
  </r>
  <r>
    <s v="C002"/>
    <x v="25"/>
    <d v="2025-11-24T00:00:00"/>
    <s v="Учебници"/>
    <s v="Подготовка за изпити"/>
    <n v="2"/>
    <n v="88.94"/>
  </r>
  <r>
    <s v="C002"/>
    <x v="25"/>
    <d v="2025-11-25T00:00:00"/>
    <s v="Бизнес и финанси"/>
    <s v="Мениджмънт"/>
    <n v="1"/>
    <n v="52.84"/>
  </r>
  <r>
    <s v="C002"/>
    <x v="25"/>
    <d v="2025-11-26T00:00:00"/>
    <s v="Детски книги"/>
    <s v="Приказки"/>
    <n v="3"/>
    <n v="71.88"/>
  </r>
  <r>
    <s v="C024"/>
    <x v="26"/>
    <d v="2025-11-26T00:00:00"/>
    <s v="Учебници"/>
    <s v="Университетски"/>
    <n v="2"/>
    <n v="123.1"/>
  </r>
  <r>
    <s v="C024"/>
    <x v="26"/>
    <d v="2025-11-26T00:00:00"/>
    <s v="Бизнес и финанси"/>
    <s v="Маркетинг"/>
    <n v="1"/>
    <n v="41.01"/>
  </r>
  <r>
    <s v="C023"/>
    <x v="14"/>
    <d v="2025-11-27T00:00:00"/>
    <s v="Учебници"/>
    <s v="Подготовка за изпити"/>
    <n v="1"/>
    <n v="35.82"/>
  </r>
  <r>
    <s v="C001"/>
    <x v="23"/>
    <d v="2025-11-28T00:00:00"/>
    <s v="Учебници"/>
    <s v="Езикови курсове"/>
    <n v="2"/>
    <n v="96.16"/>
  </r>
  <r>
    <s v="C005"/>
    <x v="19"/>
    <d v="2025-11-29T00:00:00"/>
    <s v="Художествена литература"/>
    <s v="Класика"/>
    <n v="1"/>
    <n v="28.88"/>
  </r>
  <r>
    <s v="C021"/>
    <x v="13"/>
    <d v="2025-11-29T00:00:00"/>
    <s v="Художествена литература"/>
    <s v="Поезия"/>
    <n v="2"/>
    <n v="26.46"/>
  </r>
  <r>
    <s v="C001"/>
    <x v="23"/>
    <d v="2025-11-30T00:00:00"/>
    <s v="Художествена литература"/>
    <s v="Роман (български автор)"/>
    <n v="1"/>
    <n v="18.93"/>
  </r>
  <r>
    <s v="C005"/>
    <x v="19"/>
    <d v="2025-12-01T00:00:00"/>
    <s v="Наука и технологии"/>
    <s v="AI и данни"/>
    <n v="2"/>
    <n v="79.28"/>
  </r>
  <r>
    <s v="C003"/>
    <x v="15"/>
    <d v="2025-12-02T00:00:00"/>
    <s v="Учебници"/>
    <s v="Университетски"/>
    <n v="2"/>
    <n v="91.6"/>
  </r>
  <r>
    <s v="C002"/>
    <x v="25"/>
    <d v="2025-12-03T00:00:00"/>
    <s v="Бизнес и финанси"/>
    <s v="Лични финанси"/>
    <n v="1"/>
    <n v="47.15"/>
  </r>
  <r>
    <s v="C016"/>
    <x v="16"/>
    <d v="2025-12-03T00:00:00"/>
    <s v="Художествена литература"/>
    <s v="Поезия"/>
    <n v="3"/>
    <n v="41.58"/>
  </r>
  <r>
    <s v="C001"/>
    <x v="23"/>
    <d v="2025-12-04T00:00:00"/>
    <s v="Учебници"/>
    <s v="Университетски"/>
    <n v="1"/>
    <n v="33.74"/>
  </r>
  <r>
    <s v="C001"/>
    <x v="23"/>
    <d v="2025-12-04T00:00:00"/>
    <s v="Бизнес и финанси"/>
    <s v="Лични финанси"/>
    <n v="2"/>
    <n v="87.16"/>
  </r>
  <r>
    <s v="C004"/>
    <x v="24"/>
    <d v="2025-12-04T00:00:00"/>
    <s v="Наука и технологии"/>
    <s v="Математика"/>
    <n v="2"/>
    <n v="62.38"/>
  </r>
  <r>
    <s v="C003"/>
    <x v="15"/>
    <d v="2025-12-05T00:00:00"/>
    <s v="Художествена литература"/>
    <s v="Класика"/>
    <n v="2"/>
    <n v="27.96"/>
  </r>
  <r>
    <s v="C005"/>
    <x v="19"/>
    <d v="2025-12-06T00:00:00"/>
    <s v="Учебници"/>
    <s v="Университетски"/>
    <n v="1"/>
    <n v="44.71"/>
  </r>
  <r>
    <s v="C004"/>
    <x v="24"/>
    <d v="2025-12-07T00:00:00"/>
    <s v="Учебници"/>
    <s v="Подготовка за изпити"/>
    <n v="1"/>
    <n v="51.99"/>
  </r>
  <r>
    <s v="C005"/>
    <x v="19"/>
    <d v="2025-12-08T00:00:00"/>
    <s v="Учебници"/>
    <s v="Подготовка за изпити"/>
    <n v="2"/>
    <n v="137.18"/>
  </r>
  <r>
    <s v="C027"/>
    <x v="12"/>
    <d v="2025-12-10T00:00:00"/>
    <s v="Учебници"/>
    <s v="Подготовка за изпити"/>
    <n v="1"/>
    <n v="48.29"/>
  </r>
  <r>
    <s v="C013"/>
    <x v="27"/>
    <d v="2025-12-13T00:00:00"/>
    <s v="Учебници"/>
    <s v="Университетски"/>
    <n v="1"/>
    <n v="57.38"/>
  </r>
  <r>
    <s v="C001"/>
    <x v="23"/>
    <d v="2025-12-14T00:00:00"/>
    <s v="Учебници"/>
    <s v="Езикови курсове"/>
    <n v="1"/>
    <n v="55.48"/>
  </r>
  <r>
    <s v="C001"/>
    <x v="23"/>
    <d v="2025-12-15T00:00:00"/>
    <s v="Наука и технологии"/>
    <s v="Програмиране"/>
    <n v="1"/>
    <n v="33.33"/>
  </r>
  <r>
    <s v="C018"/>
    <x v="21"/>
    <d v="2025-12-16T00:00:00"/>
    <s v="Учебници"/>
    <s v="Университетски"/>
    <n v="1"/>
    <n v="66.959999999999994"/>
  </r>
  <r>
    <s v="C007"/>
    <x v="17"/>
    <d v="2025-12-17T00:00:00"/>
    <s v="Учебници"/>
    <s v="Езикови курсове"/>
    <n v="1"/>
    <n v="49.11"/>
  </r>
  <r>
    <s v="C011"/>
    <x v="22"/>
    <d v="2025-12-17T00:00:00"/>
    <s v="Детски книги"/>
    <s v="Приказки"/>
    <n v="1"/>
    <n v="14.12"/>
  </r>
  <r>
    <s v="C027"/>
    <x v="12"/>
    <d v="2025-12-17T00:00:00"/>
    <s v="Художествена литература"/>
    <s v="Поезия"/>
    <n v="1"/>
    <n v="17.64"/>
  </r>
  <r>
    <s v="C013"/>
    <x v="27"/>
    <d v="2025-12-18T00:00:00"/>
    <s v="Наука и технологии"/>
    <s v="Програмиране"/>
    <n v="1"/>
    <n v="52.4"/>
  </r>
  <r>
    <s v="C013"/>
    <x v="27"/>
    <d v="2025-12-19T00:00:00"/>
    <s v="Детски книги"/>
    <s v="Тийнейджърски"/>
    <n v="2"/>
    <n v="44.54"/>
  </r>
  <r>
    <s v="C020"/>
    <x v="29"/>
    <d v="2025-12-26T00:00:00"/>
    <s v="Учебници"/>
    <s v="Езикови курсове"/>
    <n v="2"/>
    <n v="60.04"/>
  </r>
  <r>
    <s v="C001"/>
    <x v="23"/>
    <d v="2025-12-28T00:00:00"/>
    <s v="Бизнес и финанси"/>
    <s v="Мениджмънт"/>
    <n v="2"/>
    <n v="62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D6106-D0E3-AD42-909C-ADFD1E2A7265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33" firstHeaderRow="1" firstDataRow="1" firstDataCol="1"/>
  <pivotFields count="7">
    <pivotField showAll="0"/>
    <pivotField axis="axisRow" showAll="0" sortType="descending">
      <items count="31">
        <item x="21"/>
        <item x="19"/>
        <item x="2"/>
        <item x="10"/>
        <item x="20"/>
        <item x="12"/>
        <item x="25"/>
        <item x="17"/>
        <item x="0"/>
        <item x="15"/>
        <item x="5"/>
        <item x="6"/>
        <item x="27"/>
        <item x="29"/>
        <item x="13"/>
        <item x="23"/>
        <item x="14"/>
        <item x="7"/>
        <item x="16"/>
        <item x="24"/>
        <item x="9"/>
        <item x="26"/>
        <item x="22"/>
        <item x="3"/>
        <item x="11"/>
        <item x="8"/>
        <item x="18"/>
        <item x="28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dataField="1" showAll="0"/>
  </pivotFields>
  <rowFields count="1">
    <field x="1"/>
  </rowFields>
  <rowItems count="31">
    <i>
      <x v="15"/>
    </i>
    <i>
      <x v="1"/>
    </i>
    <i>
      <x v="12"/>
    </i>
    <i>
      <x/>
    </i>
    <i>
      <x v="6"/>
    </i>
    <i>
      <x v="9"/>
    </i>
    <i>
      <x v="24"/>
    </i>
    <i>
      <x v="7"/>
    </i>
    <i>
      <x v="5"/>
    </i>
    <i>
      <x v="14"/>
    </i>
    <i>
      <x v="18"/>
    </i>
    <i>
      <x v="2"/>
    </i>
    <i>
      <x v="19"/>
    </i>
    <i>
      <x v="4"/>
    </i>
    <i>
      <x v="16"/>
    </i>
    <i>
      <x v="21"/>
    </i>
    <i>
      <x v="23"/>
    </i>
    <i>
      <x v="11"/>
    </i>
    <i>
      <x v="17"/>
    </i>
    <i>
      <x v="8"/>
    </i>
    <i>
      <x v="28"/>
    </i>
    <i>
      <x v="27"/>
    </i>
    <i>
      <x v="29"/>
    </i>
    <i>
      <x v="13"/>
    </i>
    <i>
      <x v="26"/>
    </i>
    <i>
      <x v="3"/>
    </i>
    <i>
      <x v="22"/>
    </i>
    <i>
      <x v="10"/>
    </i>
    <i>
      <x v="25"/>
    </i>
    <i>
      <x v="20"/>
    </i>
    <i t="grand">
      <x/>
    </i>
  </rowItems>
  <colItems count="1">
    <i/>
  </colItems>
  <dataFields count="1">
    <dataField name="Sum of Стойност (лв.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4" customWidth="1"/>
    <col min="4" max="4" width="16" customWidth="1"/>
    <col min="5" max="5" width="28" customWidth="1"/>
    <col min="6" max="6" width="12" customWidth="1"/>
    <col min="7" max="7" width="14" customWidth="1"/>
    <col min="9" max="9" width="14.83203125" customWidth="1"/>
    <col min="10" max="10" width="18.83203125" bestFit="1" customWidth="1"/>
    <col min="11" max="11" width="18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2">
      <c r="A2" s="2" t="s">
        <v>75</v>
      </c>
      <c r="B2" s="2" t="s">
        <v>76</v>
      </c>
      <c r="C2" s="3">
        <v>45920</v>
      </c>
      <c r="D2" s="2" t="s">
        <v>21</v>
      </c>
      <c r="E2" s="2" t="s">
        <v>23</v>
      </c>
      <c r="F2" s="2">
        <v>1</v>
      </c>
      <c r="G2" s="2">
        <v>31.49</v>
      </c>
      <c r="I2" s="16">
        <f>DATE(2026,1,1) - _xlfn.MAXIFS(C:C,A:A,A2)</f>
        <v>4</v>
      </c>
      <c r="J2" s="14" t="s">
        <v>127</v>
      </c>
      <c r="K2" t="s">
        <v>129</v>
      </c>
    </row>
    <row r="3" spans="1:11" x14ac:dyDescent="0.2">
      <c r="A3" s="2" t="s">
        <v>75</v>
      </c>
      <c r="B3" s="2" t="s">
        <v>76</v>
      </c>
      <c r="C3" s="3">
        <v>45926</v>
      </c>
      <c r="D3" s="2" t="s">
        <v>9</v>
      </c>
      <c r="E3" s="2" t="s">
        <v>43</v>
      </c>
      <c r="F3" s="2">
        <v>3</v>
      </c>
      <c r="G3" s="2">
        <v>167.58</v>
      </c>
      <c r="J3" s="15" t="s">
        <v>76</v>
      </c>
      <c r="K3">
        <v>947.3900000000001</v>
      </c>
    </row>
    <row r="4" spans="1:11" x14ac:dyDescent="0.2">
      <c r="A4" s="2" t="s">
        <v>75</v>
      </c>
      <c r="B4" s="2" t="s">
        <v>76</v>
      </c>
      <c r="C4" s="3">
        <v>45941</v>
      </c>
      <c r="D4" s="2" t="s">
        <v>13</v>
      </c>
      <c r="E4" s="2" t="s">
        <v>44</v>
      </c>
      <c r="F4" s="2">
        <v>1</v>
      </c>
      <c r="G4" s="2">
        <v>20.47</v>
      </c>
      <c r="J4" s="15" t="s">
        <v>68</v>
      </c>
      <c r="K4">
        <v>920.77</v>
      </c>
    </row>
    <row r="5" spans="1:11" x14ac:dyDescent="0.2">
      <c r="A5" s="2" t="s">
        <v>75</v>
      </c>
      <c r="B5" s="2" t="s">
        <v>76</v>
      </c>
      <c r="C5" s="3">
        <v>45945</v>
      </c>
      <c r="D5" s="2" t="s">
        <v>9</v>
      </c>
      <c r="E5" s="2" t="s">
        <v>48</v>
      </c>
      <c r="F5" s="2">
        <v>3</v>
      </c>
      <c r="G5" s="2">
        <v>141.78</v>
      </c>
      <c r="J5" s="15" t="s">
        <v>85</v>
      </c>
      <c r="K5">
        <v>834.75</v>
      </c>
    </row>
    <row r="6" spans="1:11" x14ac:dyDescent="0.2">
      <c r="A6" s="2" t="s">
        <v>75</v>
      </c>
      <c r="B6" s="2" t="s">
        <v>76</v>
      </c>
      <c r="C6" s="3">
        <v>45962</v>
      </c>
      <c r="D6" s="2" t="s">
        <v>26</v>
      </c>
      <c r="E6" s="2" t="s">
        <v>27</v>
      </c>
      <c r="F6" s="2">
        <v>1</v>
      </c>
      <c r="G6" s="2">
        <v>28.82</v>
      </c>
      <c r="J6" s="15" t="s">
        <v>72</v>
      </c>
      <c r="K6">
        <v>791.76</v>
      </c>
    </row>
    <row r="7" spans="1:11" x14ac:dyDescent="0.2">
      <c r="A7" s="2" t="s">
        <v>75</v>
      </c>
      <c r="B7" s="2" t="s">
        <v>76</v>
      </c>
      <c r="C7" s="3">
        <v>45962</v>
      </c>
      <c r="D7" s="2" t="s">
        <v>26</v>
      </c>
      <c r="E7" s="2" t="s">
        <v>39</v>
      </c>
      <c r="F7" s="2">
        <v>1</v>
      </c>
      <c r="G7" s="2">
        <v>20.69</v>
      </c>
      <c r="J7" s="15" t="s">
        <v>80</v>
      </c>
      <c r="K7">
        <v>746.3</v>
      </c>
    </row>
    <row r="8" spans="1:11" x14ac:dyDescent="0.2">
      <c r="A8" s="2" t="s">
        <v>75</v>
      </c>
      <c r="B8" s="2" t="s">
        <v>76</v>
      </c>
      <c r="C8" s="3">
        <v>45967</v>
      </c>
      <c r="D8" s="2" t="s">
        <v>21</v>
      </c>
      <c r="E8" s="2" t="s">
        <v>33</v>
      </c>
      <c r="F8" s="2">
        <v>2</v>
      </c>
      <c r="G8" s="2">
        <v>80.86</v>
      </c>
      <c r="J8" s="15" t="s">
        <v>60</v>
      </c>
      <c r="K8">
        <v>557.90000000000009</v>
      </c>
    </row>
    <row r="9" spans="1:11" x14ac:dyDescent="0.2">
      <c r="A9" s="2" t="s">
        <v>75</v>
      </c>
      <c r="B9" s="2" t="s">
        <v>76</v>
      </c>
      <c r="C9" s="3">
        <v>45968</v>
      </c>
      <c r="D9" s="2" t="s">
        <v>9</v>
      </c>
      <c r="E9" s="2" t="s">
        <v>48</v>
      </c>
      <c r="F9" s="2">
        <v>2</v>
      </c>
      <c r="G9" s="2">
        <v>68.58</v>
      </c>
      <c r="J9" s="15" t="s">
        <v>52</v>
      </c>
      <c r="K9">
        <v>398.79999999999995</v>
      </c>
    </row>
    <row r="10" spans="1:11" x14ac:dyDescent="0.2">
      <c r="A10" s="2" t="s">
        <v>75</v>
      </c>
      <c r="B10" s="2" t="s">
        <v>76</v>
      </c>
      <c r="C10" s="3">
        <v>45989</v>
      </c>
      <c r="D10" s="2" t="s">
        <v>9</v>
      </c>
      <c r="E10" s="2" t="s">
        <v>10</v>
      </c>
      <c r="F10" s="2">
        <v>2</v>
      </c>
      <c r="G10" s="2">
        <v>96.16</v>
      </c>
      <c r="J10" s="15" t="s">
        <v>64</v>
      </c>
      <c r="K10">
        <v>372.36</v>
      </c>
    </row>
    <row r="11" spans="1:11" x14ac:dyDescent="0.2">
      <c r="A11" s="2" t="s">
        <v>75</v>
      </c>
      <c r="B11" s="2" t="s">
        <v>76</v>
      </c>
      <c r="C11" s="3">
        <v>45991</v>
      </c>
      <c r="D11" s="2" t="s">
        <v>26</v>
      </c>
      <c r="E11" s="2" t="s">
        <v>81</v>
      </c>
      <c r="F11" s="2">
        <v>1</v>
      </c>
      <c r="G11" s="2">
        <v>18.93</v>
      </c>
      <c r="J11" s="15" t="s">
        <v>54</v>
      </c>
      <c r="K11">
        <v>349.29</v>
      </c>
    </row>
    <row r="12" spans="1:11" x14ac:dyDescent="0.2">
      <c r="A12" s="2" t="s">
        <v>75</v>
      </c>
      <c r="B12" s="2" t="s">
        <v>76</v>
      </c>
      <c r="C12" s="3">
        <v>45995</v>
      </c>
      <c r="D12" s="2" t="s">
        <v>9</v>
      </c>
      <c r="E12" s="2" t="s">
        <v>48</v>
      </c>
      <c r="F12" s="2">
        <v>1</v>
      </c>
      <c r="G12" s="2">
        <v>33.74</v>
      </c>
      <c r="J12" s="15" t="s">
        <v>56</v>
      </c>
      <c r="K12">
        <v>318.58</v>
      </c>
    </row>
    <row r="13" spans="1:11" x14ac:dyDescent="0.2">
      <c r="A13" s="2" t="s">
        <v>75</v>
      </c>
      <c r="B13" s="2" t="s">
        <v>76</v>
      </c>
      <c r="C13" s="3">
        <v>45995</v>
      </c>
      <c r="D13" s="2" t="s">
        <v>17</v>
      </c>
      <c r="E13" s="2" t="s">
        <v>45</v>
      </c>
      <c r="F13" s="2">
        <v>2</v>
      </c>
      <c r="G13" s="2">
        <v>87.16</v>
      </c>
      <c r="J13" s="15" t="s">
        <v>62</v>
      </c>
      <c r="K13">
        <v>314.22999999999996</v>
      </c>
    </row>
    <row r="14" spans="1:11" x14ac:dyDescent="0.2">
      <c r="A14" s="2" t="s">
        <v>75</v>
      </c>
      <c r="B14" s="2" t="s">
        <v>76</v>
      </c>
      <c r="C14" s="3">
        <v>46005</v>
      </c>
      <c r="D14" s="2" t="s">
        <v>9</v>
      </c>
      <c r="E14" s="2" t="s">
        <v>10</v>
      </c>
      <c r="F14" s="2">
        <v>1</v>
      </c>
      <c r="G14" s="2">
        <v>55.48</v>
      </c>
      <c r="J14" s="15" t="s">
        <v>16</v>
      </c>
      <c r="K14">
        <v>305.57</v>
      </c>
    </row>
    <row r="15" spans="1:11" x14ac:dyDescent="0.2">
      <c r="A15" s="2" t="s">
        <v>75</v>
      </c>
      <c r="B15" s="2" t="s">
        <v>76</v>
      </c>
      <c r="C15" s="3">
        <v>46006</v>
      </c>
      <c r="D15" s="2" t="s">
        <v>21</v>
      </c>
      <c r="E15" s="2" t="s">
        <v>23</v>
      </c>
      <c r="F15" s="2">
        <v>1</v>
      </c>
      <c r="G15" s="2">
        <v>33.33</v>
      </c>
      <c r="J15" s="15" t="s">
        <v>78</v>
      </c>
      <c r="K15">
        <v>294.62</v>
      </c>
    </row>
    <row r="16" spans="1:11" x14ac:dyDescent="0.2">
      <c r="A16" s="2" t="s">
        <v>75</v>
      </c>
      <c r="B16" s="2" t="s">
        <v>76</v>
      </c>
      <c r="C16" s="3">
        <v>46019</v>
      </c>
      <c r="D16" s="2" t="s">
        <v>17</v>
      </c>
      <c r="E16" s="2" t="s">
        <v>18</v>
      </c>
      <c r="F16" s="2">
        <v>2</v>
      </c>
      <c r="G16" s="2">
        <v>62.32</v>
      </c>
      <c r="J16" s="15" t="s">
        <v>70</v>
      </c>
      <c r="K16">
        <v>254.71999999999997</v>
      </c>
    </row>
    <row r="17" spans="1:11" x14ac:dyDescent="0.2">
      <c r="A17" s="2" t="s">
        <v>79</v>
      </c>
      <c r="B17" s="2" t="s">
        <v>80</v>
      </c>
      <c r="C17" s="3">
        <v>45921</v>
      </c>
      <c r="D17" s="2" t="s">
        <v>26</v>
      </c>
      <c r="E17" s="2" t="s">
        <v>81</v>
      </c>
      <c r="F17" s="2">
        <v>1</v>
      </c>
      <c r="G17" s="2">
        <v>26.14</v>
      </c>
      <c r="J17" s="15" t="s">
        <v>58</v>
      </c>
      <c r="K17">
        <v>248.70999999999998</v>
      </c>
    </row>
    <row r="18" spans="1:11" x14ac:dyDescent="0.2">
      <c r="A18" s="2" t="s">
        <v>79</v>
      </c>
      <c r="B18" s="2" t="s">
        <v>80</v>
      </c>
      <c r="C18" s="3">
        <v>45949</v>
      </c>
      <c r="D18" s="2" t="s">
        <v>26</v>
      </c>
      <c r="E18" s="2" t="s">
        <v>81</v>
      </c>
      <c r="F18" s="2">
        <v>2</v>
      </c>
      <c r="G18" s="2">
        <v>53</v>
      </c>
      <c r="J18" s="15" t="s">
        <v>83</v>
      </c>
      <c r="K18">
        <v>227.25</v>
      </c>
    </row>
    <row r="19" spans="1:11" x14ac:dyDescent="0.2">
      <c r="A19" s="2" t="s">
        <v>79</v>
      </c>
      <c r="B19" s="2" t="s">
        <v>80</v>
      </c>
      <c r="C19" s="3">
        <v>45951</v>
      </c>
      <c r="D19" s="2" t="s">
        <v>21</v>
      </c>
      <c r="E19" s="2" t="s">
        <v>33</v>
      </c>
      <c r="F19" s="2">
        <v>1</v>
      </c>
      <c r="G19" s="2">
        <v>63.29</v>
      </c>
      <c r="J19" s="15" t="s">
        <v>20</v>
      </c>
      <c r="K19">
        <v>215.76</v>
      </c>
    </row>
    <row r="20" spans="1:11" x14ac:dyDescent="0.2">
      <c r="A20" s="2" t="s">
        <v>79</v>
      </c>
      <c r="B20" s="2" t="s">
        <v>80</v>
      </c>
      <c r="C20" s="3">
        <v>45953</v>
      </c>
      <c r="D20" s="2" t="s">
        <v>13</v>
      </c>
      <c r="E20" s="2" t="s">
        <v>46</v>
      </c>
      <c r="F20" s="2">
        <v>1</v>
      </c>
      <c r="G20" s="2">
        <v>12.05</v>
      </c>
      <c r="J20" s="15" t="s">
        <v>32</v>
      </c>
      <c r="K20">
        <v>158.62</v>
      </c>
    </row>
    <row r="21" spans="1:11" x14ac:dyDescent="0.2">
      <c r="A21" s="2" t="s">
        <v>79</v>
      </c>
      <c r="B21" s="2" t="s">
        <v>80</v>
      </c>
      <c r="C21" s="3">
        <v>45963</v>
      </c>
      <c r="D21" s="2" t="s">
        <v>9</v>
      </c>
      <c r="E21" s="2" t="s">
        <v>48</v>
      </c>
      <c r="F21" s="2">
        <v>2</v>
      </c>
      <c r="G21" s="2">
        <v>154.41999999999999</v>
      </c>
      <c r="J21" s="15" t="s">
        <v>35</v>
      </c>
      <c r="K21">
        <v>138.63</v>
      </c>
    </row>
    <row r="22" spans="1:11" x14ac:dyDescent="0.2">
      <c r="A22" s="2" t="s">
        <v>79</v>
      </c>
      <c r="B22" s="2" t="s">
        <v>80</v>
      </c>
      <c r="C22" s="3">
        <v>45969</v>
      </c>
      <c r="D22" s="2" t="s">
        <v>26</v>
      </c>
      <c r="E22" s="2" t="s">
        <v>42</v>
      </c>
      <c r="F22" s="2">
        <v>1</v>
      </c>
      <c r="G22" s="2">
        <v>31.29</v>
      </c>
      <c r="J22" s="15" t="s">
        <v>8</v>
      </c>
      <c r="K22">
        <v>110.79000000000002</v>
      </c>
    </row>
    <row r="23" spans="1:11" x14ac:dyDescent="0.2">
      <c r="A23" s="2" t="s">
        <v>79</v>
      </c>
      <c r="B23" s="2" t="s">
        <v>80</v>
      </c>
      <c r="C23" s="3">
        <v>45976</v>
      </c>
      <c r="D23" s="2" t="s">
        <v>17</v>
      </c>
      <c r="E23" s="2" t="s">
        <v>36</v>
      </c>
      <c r="F23" s="2">
        <v>3</v>
      </c>
      <c r="G23" s="2">
        <v>95.85</v>
      </c>
      <c r="J23" s="15" t="s">
        <v>25</v>
      </c>
      <c r="K23">
        <v>96.22</v>
      </c>
    </row>
    <row r="24" spans="1:11" x14ac:dyDescent="0.2">
      <c r="A24" s="2" t="s">
        <v>79</v>
      </c>
      <c r="B24" s="2" t="s">
        <v>80</v>
      </c>
      <c r="C24" s="3">
        <v>45982</v>
      </c>
      <c r="D24" s="2" t="s">
        <v>21</v>
      </c>
      <c r="E24" s="2" t="s">
        <v>23</v>
      </c>
      <c r="F24" s="2">
        <v>1</v>
      </c>
      <c r="G24" s="2">
        <v>49.45</v>
      </c>
      <c r="J24" s="15" t="s">
        <v>87</v>
      </c>
      <c r="K24">
        <v>87.710000000000008</v>
      </c>
    </row>
    <row r="25" spans="1:11" x14ac:dyDescent="0.2">
      <c r="A25" s="2" t="s">
        <v>79</v>
      </c>
      <c r="B25" s="2" t="s">
        <v>80</v>
      </c>
      <c r="C25" s="3">
        <v>45985</v>
      </c>
      <c r="D25" s="2" t="s">
        <v>9</v>
      </c>
      <c r="E25" s="2" t="s">
        <v>43</v>
      </c>
      <c r="F25" s="2">
        <v>2</v>
      </c>
      <c r="G25" s="2">
        <v>88.94</v>
      </c>
      <c r="J25" s="15" t="s">
        <v>12</v>
      </c>
      <c r="K25">
        <v>84.23</v>
      </c>
    </row>
    <row r="26" spans="1:11" x14ac:dyDescent="0.2">
      <c r="A26" s="2" t="s">
        <v>79</v>
      </c>
      <c r="B26" s="2" t="s">
        <v>80</v>
      </c>
      <c r="C26" s="3">
        <v>45986</v>
      </c>
      <c r="D26" s="2" t="s">
        <v>17</v>
      </c>
      <c r="E26" s="2" t="s">
        <v>18</v>
      </c>
      <c r="F26" s="2">
        <v>1</v>
      </c>
      <c r="G26" s="2">
        <v>52.84</v>
      </c>
      <c r="J26" s="15" t="s">
        <v>89</v>
      </c>
      <c r="K26">
        <v>79.59</v>
      </c>
    </row>
    <row r="27" spans="1:11" x14ac:dyDescent="0.2">
      <c r="A27" s="2" t="s">
        <v>79</v>
      </c>
      <c r="B27" s="2" t="s">
        <v>80</v>
      </c>
      <c r="C27" s="3">
        <v>45987</v>
      </c>
      <c r="D27" s="2" t="s">
        <v>13</v>
      </c>
      <c r="E27" s="2" t="s">
        <v>46</v>
      </c>
      <c r="F27" s="2">
        <v>3</v>
      </c>
      <c r="G27" s="2">
        <v>71.88</v>
      </c>
      <c r="J27" s="15" t="s">
        <v>66</v>
      </c>
      <c r="K27">
        <v>52.040000000000006</v>
      </c>
    </row>
    <row r="28" spans="1:11" x14ac:dyDescent="0.2">
      <c r="A28" s="2" t="s">
        <v>79</v>
      </c>
      <c r="B28" s="2" t="s">
        <v>80</v>
      </c>
      <c r="C28" s="3">
        <v>45994</v>
      </c>
      <c r="D28" s="2" t="s">
        <v>17</v>
      </c>
      <c r="E28" s="2" t="s">
        <v>45</v>
      </c>
      <c r="F28" s="2">
        <v>1</v>
      </c>
      <c r="G28" s="2">
        <v>47.15</v>
      </c>
      <c r="J28" s="15" t="s">
        <v>50</v>
      </c>
      <c r="K28">
        <v>44.97</v>
      </c>
    </row>
    <row r="29" spans="1:11" x14ac:dyDescent="0.2">
      <c r="A29" s="2" t="s">
        <v>59</v>
      </c>
      <c r="B29" s="2" t="s">
        <v>60</v>
      </c>
      <c r="C29" s="3">
        <v>45829</v>
      </c>
      <c r="D29" s="2" t="s">
        <v>17</v>
      </c>
      <c r="E29" s="2" t="s">
        <v>45</v>
      </c>
      <c r="F29" s="2">
        <v>1</v>
      </c>
      <c r="G29" s="2">
        <v>33.75</v>
      </c>
      <c r="J29" s="15" t="s">
        <v>74</v>
      </c>
      <c r="K29">
        <v>39.14</v>
      </c>
    </row>
    <row r="30" spans="1:11" x14ac:dyDescent="0.2">
      <c r="A30" s="2" t="s">
        <v>59</v>
      </c>
      <c r="B30" s="2" t="s">
        <v>60</v>
      </c>
      <c r="C30" s="3">
        <v>45842</v>
      </c>
      <c r="D30" s="2" t="s">
        <v>9</v>
      </c>
      <c r="E30" s="2" t="s">
        <v>48</v>
      </c>
      <c r="F30" s="2">
        <v>1</v>
      </c>
      <c r="G30" s="2">
        <v>28.88</v>
      </c>
      <c r="J30" s="15" t="s">
        <v>29</v>
      </c>
      <c r="K30">
        <v>22.27</v>
      </c>
    </row>
    <row r="31" spans="1:11" x14ac:dyDescent="0.2">
      <c r="A31" s="2" t="s">
        <v>59</v>
      </c>
      <c r="B31" s="2" t="s">
        <v>60</v>
      </c>
      <c r="C31" s="3">
        <v>45880</v>
      </c>
      <c r="D31" s="2" t="s">
        <v>9</v>
      </c>
      <c r="E31" s="2" t="s">
        <v>43</v>
      </c>
      <c r="F31" s="2">
        <v>1</v>
      </c>
      <c r="G31" s="2">
        <v>36.11</v>
      </c>
      <c r="J31" s="15" t="s">
        <v>38</v>
      </c>
      <c r="K31">
        <v>20.11</v>
      </c>
    </row>
    <row r="32" spans="1:11" x14ac:dyDescent="0.2">
      <c r="A32" s="2" t="s">
        <v>59</v>
      </c>
      <c r="B32" s="2" t="s">
        <v>60</v>
      </c>
      <c r="C32" s="3">
        <v>45896</v>
      </c>
      <c r="D32" s="2" t="s">
        <v>21</v>
      </c>
      <c r="E32" s="2" t="s">
        <v>30</v>
      </c>
      <c r="F32" s="2">
        <v>1</v>
      </c>
      <c r="G32" s="2">
        <v>43.22</v>
      </c>
      <c r="J32" s="15" t="s">
        <v>41</v>
      </c>
      <c r="K32">
        <v>17.04</v>
      </c>
    </row>
    <row r="33" spans="1:11" x14ac:dyDescent="0.2">
      <c r="A33" s="2" t="s">
        <v>59</v>
      </c>
      <c r="B33" s="2" t="s">
        <v>60</v>
      </c>
      <c r="C33" s="3">
        <v>45922</v>
      </c>
      <c r="D33" s="2" t="s">
        <v>17</v>
      </c>
      <c r="E33" s="2" t="s">
        <v>47</v>
      </c>
      <c r="F33" s="2">
        <v>2</v>
      </c>
      <c r="G33" s="2">
        <v>40.700000000000003</v>
      </c>
      <c r="J33" s="15" t="s">
        <v>128</v>
      </c>
      <c r="K33">
        <v>9050.119999999999</v>
      </c>
    </row>
    <row r="34" spans="1:11" x14ac:dyDescent="0.2">
      <c r="A34" s="2" t="s">
        <v>59</v>
      </c>
      <c r="B34" s="2" t="s">
        <v>60</v>
      </c>
      <c r="C34" s="3">
        <v>45950</v>
      </c>
      <c r="D34" s="2" t="s">
        <v>26</v>
      </c>
      <c r="E34" s="2" t="s">
        <v>42</v>
      </c>
      <c r="F34" s="2">
        <v>2</v>
      </c>
      <c r="G34" s="2">
        <v>57.52</v>
      </c>
    </row>
    <row r="35" spans="1:11" x14ac:dyDescent="0.2">
      <c r="A35" s="2" t="s">
        <v>59</v>
      </c>
      <c r="B35" s="2" t="s">
        <v>60</v>
      </c>
      <c r="C35" s="3">
        <v>45960</v>
      </c>
      <c r="D35" s="2" t="s">
        <v>9</v>
      </c>
      <c r="E35" s="2" t="s">
        <v>48</v>
      </c>
      <c r="F35" s="2">
        <v>1</v>
      </c>
      <c r="G35" s="2">
        <v>58.69</v>
      </c>
    </row>
    <row r="36" spans="1:11" x14ac:dyDescent="0.2">
      <c r="A36" s="2" t="s">
        <v>59</v>
      </c>
      <c r="B36" s="2" t="s">
        <v>60</v>
      </c>
      <c r="C36" s="3">
        <v>45973</v>
      </c>
      <c r="D36" s="2" t="s">
        <v>21</v>
      </c>
      <c r="E36" s="2" t="s">
        <v>33</v>
      </c>
      <c r="F36" s="2">
        <v>3</v>
      </c>
      <c r="G36" s="2">
        <v>139.47</v>
      </c>
    </row>
    <row r="37" spans="1:11" x14ac:dyDescent="0.2">
      <c r="A37" s="2" t="s">
        <v>59</v>
      </c>
      <c r="B37" s="2" t="s">
        <v>60</v>
      </c>
      <c r="C37" s="3">
        <v>45993</v>
      </c>
      <c r="D37" s="2" t="s">
        <v>9</v>
      </c>
      <c r="E37" s="2" t="s">
        <v>48</v>
      </c>
      <c r="F37" s="2">
        <v>2</v>
      </c>
      <c r="G37" s="2">
        <v>91.6</v>
      </c>
    </row>
    <row r="38" spans="1:11" x14ac:dyDescent="0.2">
      <c r="A38" s="2" t="s">
        <v>59</v>
      </c>
      <c r="B38" s="2" t="s">
        <v>60</v>
      </c>
      <c r="C38" s="3">
        <v>45996</v>
      </c>
      <c r="D38" s="2" t="s">
        <v>26</v>
      </c>
      <c r="E38" s="2" t="s">
        <v>27</v>
      </c>
      <c r="F38" s="2">
        <v>2</v>
      </c>
      <c r="G38" s="2">
        <v>27.96</v>
      </c>
    </row>
    <row r="39" spans="1:11" x14ac:dyDescent="0.2">
      <c r="A39" s="2" t="s">
        <v>77</v>
      </c>
      <c r="B39" s="2" t="s">
        <v>78</v>
      </c>
      <c r="C39" s="3">
        <v>45920</v>
      </c>
      <c r="D39" s="2" t="s">
        <v>13</v>
      </c>
      <c r="E39" s="2" t="s">
        <v>44</v>
      </c>
      <c r="F39" s="2">
        <v>2</v>
      </c>
      <c r="G39" s="2">
        <v>24.5</v>
      </c>
    </row>
    <row r="40" spans="1:11" x14ac:dyDescent="0.2">
      <c r="A40" s="2" t="s">
        <v>77</v>
      </c>
      <c r="B40" s="2" t="s">
        <v>78</v>
      </c>
      <c r="C40" s="3">
        <v>45925</v>
      </c>
      <c r="D40" s="2" t="s">
        <v>21</v>
      </c>
      <c r="E40" s="2" t="s">
        <v>33</v>
      </c>
      <c r="F40" s="2">
        <v>1</v>
      </c>
      <c r="G40" s="2">
        <v>37.29</v>
      </c>
    </row>
    <row r="41" spans="1:11" x14ac:dyDescent="0.2">
      <c r="A41" s="2" t="s">
        <v>77</v>
      </c>
      <c r="B41" s="2" t="s">
        <v>78</v>
      </c>
      <c r="C41" s="3">
        <v>45949</v>
      </c>
      <c r="D41" s="2" t="s">
        <v>13</v>
      </c>
      <c r="E41" s="2" t="s">
        <v>14</v>
      </c>
      <c r="F41" s="2">
        <v>1</v>
      </c>
      <c r="G41" s="2">
        <v>19.13</v>
      </c>
    </row>
    <row r="42" spans="1:11" x14ac:dyDescent="0.2">
      <c r="A42" s="2" t="s">
        <v>77</v>
      </c>
      <c r="B42" s="2" t="s">
        <v>78</v>
      </c>
      <c r="C42" s="3">
        <v>45951</v>
      </c>
      <c r="D42" s="2" t="s">
        <v>17</v>
      </c>
      <c r="E42" s="2" t="s">
        <v>45</v>
      </c>
      <c r="F42" s="2">
        <v>1</v>
      </c>
      <c r="G42" s="2">
        <v>32.03</v>
      </c>
    </row>
    <row r="43" spans="1:11" x14ac:dyDescent="0.2">
      <c r="A43" s="2" t="s">
        <v>77</v>
      </c>
      <c r="B43" s="2" t="s">
        <v>78</v>
      </c>
      <c r="C43" s="3">
        <v>45968</v>
      </c>
      <c r="D43" s="2" t="s">
        <v>17</v>
      </c>
      <c r="E43" s="2" t="s">
        <v>45</v>
      </c>
      <c r="F43" s="2">
        <v>1</v>
      </c>
      <c r="G43" s="2">
        <v>36.979999999999997</v>
      </c>
    </row>
    <row r="44" spans="1:11" x14ac:dyDescent="0.2">
      <c r="A44" s="2" t="s">
        <v>77</v>
      </c>
      <c r="B44" s="2" t="s">
        <v>78</v>
      </c>
      <c r="C44" s="3">
        <v>45980</v>
      </c>
      <c r="D44" s="2" t="s">
        <v>13</v>
      </c>
      <c r="E44" s="2" t="s">
        <v>14</v>
      </c>
      <c r="F44" s="2">
        <v>2</v>
      </c>
      <c r="G44" s="2">
        <v>30.32</v>
      </c>
    </row>
    <row r="45" spans="1:11" x14ac:dyDescent="0.2">
      <c r="A45" s="2" t="s">
        <v>77</v>
      </c>
      <c r="B45" s="2" t="s">
        <v>78</v>
      </c>
      <c r="C45" s="3">
        <v>45995</v>
      </c>
      <c r="D45" s="2" t="s">
        <v>21</v>
      </c>
      <c r="E45" s="2" t="s">
        <v>22</v>
      </c>
      <c r="F45" s="2">
        <v>2</v>
      </c>
      <c r="G45" s="2">
        <v>62.38</v>
      </c>
    </row>
    <row r="46" spans="1:11" x14ac:dyDescent="0.2">
      <c r="A46" s="2" t="s">
        <v>77</v>
      </c>
      <c r="B46" s="2" t="s">
        <v>78</v>
      </c>
      <c r="C46" s="3">
        <v>45998</v>
      </c>
      <c r="D46" s="2" t="s">
        <v>9</v>
      </c>
      <c r="E46" s="2" t="s">
        <v>43</v>
      </c>
      <c r="F46" s="2">
        <v>1</v>
      </c>
      <c r="G46" s="2">
        <v>51.99</v>
      </c>
    </row>
    <row r="47" spans="1:11" x14ac:dyDescent="0.2">
      <c r="A47" s="2" t="s">
        <v>67</v>
      </c>
      <c r="B47" s="2" t="s">
        <v>68</v>
      </c>
      <c r="C47" s="3">
        <v>45883</v>
      </c>
      <c r="D47" s="2" t="s">
        <v>9</v>
      </c>
      <c r="E47" s="2" t="s">
        <v>10</v>
      </c>
      <c r="F47" s="2">
        <v>1</v>
      </c>
      <c r="G47" s="2">
        <v>45.47</v>
      </c>
    </row>
    <row r="48" spans="1:11" x14ac:dyDescent="0.2">
      <c r="A48" s="2" t="s">
        <v>67</v>
      </c>
      <c r="B48" s="2" t="s">
        <v>68</v>
      </c>
      <c r="C48" s="3">
        <v>45894</v>
      </c>
      <c r="D48" s="2" t="s">
        <v>9</v>
      </c>
      <c r="E48" s="2" t="s">
        <v>10</v>
      </c>
      <c r="F48" s="2">
        <v>1</v>
      </c>
      <c r="G48" s="2">
        <v>43.69</v>
      </c>
    </row>
    <row r="49" spans="1:7" x14ac:dyDescent="0.2">
      <c r="A49" s="2" t="s">
        <v>67</v>
      </c>
      <c r="B49" s="2" t="s">
        <v>68</v>
      </c>
      <c r="C49" s="3">
        <v>45942</v>
      </c>
      <c r="D49" s="2" t="s">
        <v>21</v>
      </c>
      <c r="E49" s="2" t="s">
        <v>22</v>
      </c>
      <c r="F49" s="2">
        <v>1</v>
      </c>
      <c r="G49" s="2">
        <v>61.45</v>
      </c>
    </row>
    <row r="50" spans="1:7" x14ac:dyDescent="0.2">
      <c r="A50" s="2" t="s">
        <v>67</v>
      </c>
      <c r="B50" s="2" t="s">
        <v>68</v>
      </c>
      <c r="C50" s="3">
        <v>45947</v>
      </c>
      <c r="D50" s="2" t="s">
        <v>9</v>
      </c>
      <c r="E50" s="2" t="s">
        <v>48</v>
      </c>
      <c r="F50" s="2">
        <v>1</v>
      </c>
      <c r="G50" s="2">
        <v>72.22</v>
      </c>
    </row>
    <row r="51" spans="1:7" x14ac:dyDescent="0.2">
      <c r="A51" s="2" t="s">
        <v>67</v>
      </c>
      <c r="B51" s="2" t="s">
        <v>68</v>
      </c>
      <c r="C51" s="3">
        <v>45947</v>
      </c>
      <c r="D51" s="2" t="s">
        <v>17</v>
      </c>
      <c r="E51" s="2" t="s">
        <v>18</v>
      </c>
      <c r="F51" s="2">
        <v>2</v>
      </c>
      <c r="G51" s="2">
        <v>98.58</v>
      </c>
    </row>
    <row r="52" spans="1:7" x14ac:dyDescent="0.2">
      <c r="A52" s="2" t="s">
        <v>67</v>
      </c>
      <c r="B52" s="2" t="s">
        <v>68</v>
      </c>
      <c r="C52" s="3">
        <v>45958</v>
      </c>
      <c r="D52" s="2" t="s">
        <v>9</v>
      </c>
      <c r="E52" s="2" t="s">
        <v>43</v>
      </c>
      <c r="F52" s="2">
        <v>1</v>
      </c>
      <c r="G52" s="2">
        <v>62</v>
      </c>
    </row>
    <row r="53" spans="1:7" x14ac:dyDescent="0.2">
      <c r="A53" s="2" t="s">
        <v>67</v>
      </c>
      <c r="B53" s="2" t="s">
        <v>68</v>
      </c>
      <c r="C53" s="3">
        <v>45966</v>
      </c>
      <c r="D53" s="2" t="s">
        <v>17</v>
      </c>
      <c r="E53" s="2" t="s">
        <v>36</v>
      </c>
      <c r="F53" s="2">
        <v>1</v>
      </c>
      <c r="G53" s="2">
        <v>46.51</v>
      </c>
    </row>
    <row r="54" spans="1:7" x14ac:dyDescent="0.2">
      <c r="A54" s="2" t="s">
        <v>67</v>
      </c>
      <c r="B54" s="2" t="s">
        <v>68</v>
      </c>
      <c r="C54" s="3">
        <v>45969</v>
      </c>
      <c r="D54" s="2" t="s">
        <v>9</v>
      </c>
      <c r="E54" s="2" t="s">
        <v>43</v>
      </c>
      <c r="F54" s="2">
        <v>2</v>
      </c>
      <c r="G54" s="2">
        <v>105.84</v>
      </c>
    </row>
    <row r="55" spans="1:7" x14ac:dyDescent="0.2">
      <c r="A55" s="2" t="s">
        <v>67</v>
      </c>
      <c r="B55" s="2" t="s">
        <v>68</v>
      </c>
      <c r="C55" s="3">
        <v>45974</v>
      </c>
      <c r="D55" s="2" t="s">
        <v>9</v>
      </c>
      <c r="E55" s="2" t="s">
        <v>10</v>
      </c>
      <c r="F55" s="2">
        <v>1</v>
      </c>
      <c r="G55" s="2">
        <v>74.599999999999994</v>
      </c>
    </row>
    <row r="56" spans="1:7" x14ac:dyDescent="0.2">
      <c r="A56" s="2" t="s">
        <v>67</v>
      </c>
      <c r="B56" s="2" t="s">
        <v>68</v>
      </c>
      <c r="C56" s="3">
        <v>45978</v>
      </c>
      <c r="D56" s="2" t="s">
        <v>13</v>
      </c>
      <c r="E56" s="2" t="s">
        <v>44</v>
      </c>
      <c r="F56" s="2">
        <v>1</v>
      </c>
      <c r="G56" s="2">
        <v>20.36</v>
      </c>
    </row>
    <row r="57" spans="1:7" x14ac:dyDescent="0.2">
      <c r="A57" s="2" t="s">
        <v>67</v>
      </c>
      <c r="B57" s="2" t="s">
        <v>68</v>
      </c>
      <c r="C57" s="3">
        <v>45990</v>
      </c>
      <c r="D57" s="2" t="s">
        <v>26</v>
      </c>
      <c r="E57" s="2" t="s">
        <v>27</v>
      </c>
      <c r="F57" s="2">
        <v>1</v>
      </c>
      <c r="G57" s="2">
        <v>28.88</v>
      </c>
    </row>
    <row r="58" spans="1:7" x14ac:dyDescent="0.2">
      <c r="A58" s="2" t="s">
        <v>67</v>
      </c>
      <c r="B58" s="2" t="s">
        <v>68</v>
      </c>
      <c r="C58" s="3">
        <v>45992</v>
      </c>
      <c r="D58" s="2" t="s">
        <v>21</v>
      </c>
      <c r="E58" s="2" t="s">
        <v>30</v>
      </c>
      <c r="F58" s="2">
        <v>2</v>
      </c>
      <c r="G58" s="2">
        <v>79.28</v>
      </c>
    </row>
    <row r="59" spans="1:7" x14ac:dyDescent="0.2">
      <c r="A59" s="2" t="s">
        <v>67</v>
      </c>
      <c r="B59" s="2" t="s">
        <v>68</v>
      </c>
      <c r="C59" s="3">
        <v>45997</v>
      </c>
      <c r="D59" s="2" t="s">
        <v>9</v>
      </c>
      <c r="E59" s="2" t="s">
        <v>48</v>
      </c>
      <c r="F59" s="2">
        <v>1</v>
      </c>
      <c r="G59" s="2">
        <v>44.71</v>
      </c>
    </row>
    <row r="60" spans="1:7" x14ac:dyDescent="0.2">
      <c r="A60" s="2" t="s">
        <v>67</v>
      </c>
      <c r="B60" s="2" t="s">
        <v>68</v>
      </c>
      <c r="C60" s="3">
        <v>45999</v>
      </c>
      <c r="D60" s="2" t="s">
        <v>9</v>
      </c>
      <c r="E60" s="2" t="s">
        <v>43</v>
      </c>
      <c r="F60" s="2">
        <v>2</v>
      </c>
      <c r="G60" s="2">
        <v>137.18</v>
      </c>
    </row>
    <row r="61" spans="1:7" x14ac:dyDescent="0.2">
      <c r="A61" s="2" t="s">
        <v>31</v>
      </c>
      <c r="B61" s="2" t="s">
        <v>32</v>
      </c>
      <c r="C61" s="3">
        <v>45525</v>
      </c>
      <c r="D61" s="2" t="s">
        <v>17</v>
      </c>
      <c r="E61" s="2" t="s">
        <v>18</v>
      </c>
      <c r="F61" s="2">
        <v>2</v>
      </c>
      <c r="G61" s="2">
        <v>43.26</v>
      </c>
    </row>
    <row r="62" spans="1:7" x14ac:dyDescent="0.2">
      <c r="A62" s="2" t="s">
        <v>31</v>
      </c>
      <c r="B62" s="2" t="s">
        <v>32</v>
      </c>
      <c r="C62" s="3">
        <v>45563</v>
      </c>
      <c r="D62" s="2" t="s">
        <v>17</v>
      </c>
      <c r="E62" s="2" t="s">
        <v>45</v>
      </c>
      <c r="F62" s="2">
        <v>1</v>
      </c>
      <c r="G62" s="2">
        <v>16.66</v>
      </c>
    </row>
    <row r="63" spans="1:7" x14ac:dyDescent="0.2">
      <c r="A63" s="2" t="s">
        <v>31</v>
      </c>
      <c r="B63" s="2" t="s">
        <v>32</v>
      </c>
      <c r="C63" s="3">
        <v>45564</v>
      </c>
      <c r="D63" s="2" t="s">
        <v>13</v>
      </c>
      <c r="E63" s="2" t="s">
        <v>46</v>
      </c>
      <c r="F63" s="2">
        <v>1</v>
      </c>
      <c r="G63" s="2">
        <v>11.76</v>
      </c>
    </row>
    <row r="64" spans="1:7" x14ac:dyDescent="0.2">
      <c r="A64" s="2" t="s">
        <v>31</v>
      </c>
      <c r="B64" s="2" t="s">
        <v>32</v>
      </c>
      <c r="C64" s="3">
        <v>45567</v>
      </c>
      <c r="D64" s="2" t="s">
        <v>26</v>
      </c>
      <c r="E64" s="2" t="s">
        <v>42</v>
      </c>
      <c r="F64" s="2">
        <v>1</v>
      </c>
      <c r="G64" s="2">
        <v>20.329999999999998</v>
      </c>
    </row>
    <row r="65" spans="1:7" x14ac:dyDescent="0.2">
      <c r="A65" s="2" t="s">
        <v>31</v>
      </c>
      <c r="B65" s="2" t="s">
        <v>32</v>
      </c>
      <c r="C65" s="3">
        <v>45568</v>
      </c>
      <c r="D65" s="2" t="s">
        <v>13</v>
      </c>
      <c r="E65" s="2" t="s">
        <v>44</v>
      </c>
      <c r="F65" s="2">
        <v>1</v>
      </c>
      <c r="G65" s="2">
        <v>11.85</v>
      </c>
    </row>
    <row r="66" spans="1:7" x14ac:dyDescent="0.2">
      <c r="A66" s="2" t="s">
        <v>31</v>
      </c>
      <c r="B66" s="2" t="s">
        <v>32</v>
      </c>
      <c r="C66" s="3">
        <v>45578</v>
      </c>
      <c r="D66" s="2" t="s">
        <v>17</v>
      </c>
      <c r="E66" s="2" t="s">
        <v>47</v>
      </c>
      <c r="F66" s="2">
        <v>2</v>
      </c>
      <c r="G66" s="2">
        <v>54.76</v>
      </c>
    </row>
    <row r="67" spans="1:7" x14ac:dyDescent="0.2">
      <c r="A67" s="2" t="s">
        <v>63</v>
      </c>
      <c r="B67" s="2" t="s">
        <v>64</v>
      </c>
      <c r="C67" s="3">
        <v>45838</v>
      </c>
      <c r="D67" s="2" t="s">
        <v>26</v>
      </c>
      <c r="E67" s="2" t="s">
        <v>42</v>
      </c>
      <c r="F67" s="2">
        <v>2</v>
      </c>
      <c r="G67" s="2">
        <v>38.159999999999997</v>
      </c>
    </row>
    <row r="68" spans="1:7" x14ac:dyDescent="0.2">
      <c r="A68" s="2" t="s">
        <v>63</v>
      </c>
      <c r="B68" s="2" t="s">
        <v>64</v>
      </c>
      <c r="C68" s="3">
        <v>45889</v>
      </c>
      <c r="D68" s="2" t="s">
        <v>26</v>
      </c>
      <c r="E68" s="2" t="s">
        <v>39</v>
      </c>
      <c r="F68" s="2">
        <v>1</v>
      </c>
      <c r="G68" s="2">
        <v>21.33</v>
      </c>
    </row>
    <row r="69" spans="1:7" x14ac:dyDescent="0.2">
      <c r="A69" s="2" t="s">
        <v>63</v>
      </c>
      <c r="B69" s="2" t="s">
        <v>64</v>
      </c>
      <c r="C69" s="3">
        <v>45922</v>
      </c>
      <c r="D69" s="2" t="s">
        <v>21</v>
      </c>
      <c r="E69" s="2" t="s">
        <v>33</v>
      </c>
      <c r="F69" s="2">
        <v>1</v>
      </c>
      <c r="G69" s="2">
        <v>36.19</v>
      </c>
    </row>
    <row r="70" spans="1:7" x14ac:dyDescent="0.2">
      <c r="A70" s="2" t="s">
        <v>63</v>
      </c>
      <c r="B70" s="2" t="s">
        <v>64</v>
      </c>
      <c r="C70" s="3">
        <v>45923</v>
      </c>
      <c r="D70" s="2" t="s">
        <v>21</v>
      </c>
      <c r="E70" s="2" t="s">
        <v>22</v>
      </c>
      <c r="F70" s="2">
        <v>1</v>
      </c>
      <c r="G70" s="2">
        <v>29.73</v>
      </c>
    </row>
    <row r="71" spans="1:7" x14ac:dyDescent="0.2">
      <c r="A71" s="2" t="s">
        <v>63</v>
      </c>
      <c r="B71" s="2" t="s">
        <v>64</v>
      </c>
      <c r="C71" s="3">
        <v>45969</v>
      </c>
      <c r="D71" s="2" t="s">
        <v>9</v>
      </c>
      <c r="E71" s="2" t="s">
        <v>48</v>
      </c>
      <c r="F71" s="2">
        <v>1</v>
      </c>
      <c r="G71" s="2">
        <v>36.880000000000003</v>
      </c>
    </row>
    <row r="72" spans="1:7" x14ac:dyDescent="0.2">
      <c r="A72" s="2" t="s">
        <v>63</v>
      </c>
      <c r="B72" s="2" t="s">
        <v>64</v>
      </c>
      <c r="C72" s="3">
        <v>45969</v>
      </c>
      <c r="D72" s="2" t="s">
        <v>13</v>
      </c>
      <c r="E72" s="2" t="s">
        <v>44</v>
      </c>
      <c r="F72" s="2">
        <v>2</v>
      </c>
      <c r="G72" s="2">
        <v>34.26</v>
      </c>
    </row>
    <row r="73" spans="1:7" x14ac:dyDescent="0.2">
      <c r="A73" s="2" t="s">
        <v>63</v>
      </c>
      <c r="B73" s="2" t="s">
        <v>64</v>
      </c>
      <c r="C73" s="3">
        <v>45975</v>
      </c>
      <c r="D73" s="2" t="s">
        <v>17</v>
      </c>
      <c r="E73" s="2" t="s">
        <v>47</v>
      </c>
      <c r="F73" s="2">
        <v>1</v>
      </c>
      <c r="G73" s="2">
        <v>33.22</v>
      </c>
    </row>
    <row r="74" spans="1:7" x14ac:dyDescent="0.2">
      <c r="A74" s="2" t="s">
        <v>63</v>
      </c>
      <c r="B74" s="2" t="s">
        <v>64</v>
      </c>
      <c r="C74" s="3">
        <v>45980</v>
      </c>
      <c r="D74" s="2" t="s">
        <v>9</v>
      </c>
      <c r="E74" s="2" t="s">
        <v>43</v>
      </c>
      <c r="F74" s="2">
        <v>2</v>
      </c>
      <c r="G74" s="2">
        <v>93.48</v>
      </c>
    </row>
    <row r="75" spans="1:7" x14ac:dyDescent="0.2">
      <c r="A75" s="2" t="s">
        <v>63</v>
      </c>
      <c r="B75" s="2" t="s">
        <v>64</v>
      </c>
      <c r="C75" s="3">
        <v>46008</v>
      </c>
      <c r="D75" s="2" t="s">
        <v>9</v>
      </c>
      <c r="E75" s="2" t="s">
        <v>10</v>
      </c>
      <c r="F75" s="2">
        <v>1</v>
      </c>
      <c r="G75" s="2">
        <v>49.11</v>
      </c>
    </row>
    <row r="76" spans="1:7" x14ac:dyDescent="0.2">
      <c r="A76" s="2" t="s">
        <v>86</v>
      </c>
      <c r="B76" s="2" t="s">
        <v>87</v>
      </c>
      <c r="C76" s="3">
        <v>45949</v>
      </c>
      <c r="D76" s="2" t="s">
        <v>13</v>
      </c>
      <c r="E76" s="2" t="s">
        <v>46</v>
      </c>
      <c r="F76" s="2">
        <v>2</v>
      </c>
      <c r="G76" s="2">
        <v>27.22</v>
      </c>
    </row>
    <row r="77" spans="1:7" x14ac:dyDescent="0.2">
      <c r="A77" s="2" t="s">
        <v>86</v>
      </c>
      <c r="B77" s="2" t="s">
        <v>87</v>
      </c>
      <c r="C77" s="3">
        <v>45960</v>
      </c>
      <c r="D77" s="2" t="s">
        <v>26</v>
      </c>
      <c r="E77" s="2" t="s">
        <v>42</v>
      </c>
      <c r="F77" s="2">
        <v>2</v>
      </c>
      <c r="G77" s="2">
        <v>28.04</v>
      </c>
    </row>
    <row r="78" spans="1:7" x14ac:dyDescent="0.2">
      <c r="A78" s="2" t="s">
        <v>86</v>
      </c>
      <c r="B78" s="2" t="s">
        <v>87</v>
      </c>
      <c r="C78" s="3">
        <v>45984</v>
      </c>
      <c r="D78" s="2" t="s">
        <v>9</v>
      </c>
      <c r="E78" s="2" t="s">
        <v>10</v>
      </c>
      <c r="F78" s="2">
        <v>1</v>
      </c>
      <c r="G78" s="2">
        <v>32.450000000000003</v>
      </c>
    </row>
    <row r="79" spans="1:7" x14ac:dyDescent="0.2">
      <c r="A79" s="2" t="s">
        <v>34</v>
      </c>
      <c r="B79" s="2" t="s">
        <v>35</v>
      </c>
      <c r="C79" s="3">
        <v>45527</v>
      </c>
      <c r="D79" s="2" t="s">
        <v>17</v>
      </c>
      <c r="E79" s="2" t="s">
        <v>36</v>
      </c>
      <c r="F79" s="2">
        <v>1</v>
      </c>
      <c r="G79" s="2">
        <v>18</v>
      </c>
    </row>
    <row r="80" spans="1:7" x14ac:dyDescent="0.2">
      <c r="A80" s="2" t="s">
        <v>34</v>
      </c>
      <c r="B80" s="2" t="s">
        <v>35</v>
      </c>
      <c r="C80" s="3">
        <v>45568</v>
      </c>
      <c r="D80" s="2" t="s">
        <v>9</v>
      </c>
      <c r="E80" s="2" t="s">
        <v>10</v>
      </c>
      <c r="F80" s="2">
        <v>1</v>
      </c>
      <c r="G80" s="2">
        <v>30.63</v>
      </c>
    </row>
    <row r="81" spans="1:7" x14ac:dyDescent="0.2">
      <c r="A81" s="2" t="s">
        <v>34</v>
      </c>
      <c r="B81" s="2" t="s">
        <v>35</v>
      </c>
      <c r="C81" s="3">
        <v>45653</v>
      </c>
      <c r="D81" s="2" t="s">
        <v>9</v>
      </c>
      <c r="E81" s="2" t="s">
        <v>48</v>
      </c>
      <c r="F81" s="2">
        <v>1</v>
      </c>
      <c r="G81" s="2">
        <v>29.8</v>
      </c>
    </row>
    <row r="82" spans="1:7" x14ac:dyDescent="0.2">
      <c r="A82" s="2" t="s">
        <v>34</v>
      </c>
      <c r="B82" s="2" t="s">
        <v>35</v>
      </c>
      <c r="C82" s="3">
        <v>45671</v>
      </c>
      <c r="D82" s="2" t="s">
        <v>9</v>
      </c>
      <c r="E82" s="2" t="s">
        <v>43</v>
      </c>
      <c r="F82" s="2">
        <v>1</v>
      </c>
      <c r="G82" s="2">
        <v>38.31</v>
      </c>
    </row>
    <row r="83" spans="1:7" x14ac:dyDescent="0.2">
      <c r="A83" s="2" t="s">
        <v>34</v>
      </c>
      <c r="B83" s="2" t="s">
        <v>35</v>
      </c>
      <c r="C83" s="3">
        <v>45691</v>
      </c>
      <c r="D83" s="2" t="s">
        <v>21</v>
      </c>
      <c r="E83" s="2" t="s">
        <v>30</v>
      </c>
      <c r="F83" s="2">
        <v>1</v>
      </c>
      <c r="G83" s="2">
        <v>21.89</v>
      </c>
    </row>
    <row r="84" spans="1:7" x14ac:dyDescent="0.2">
      <c r="A84" s="2" t="s">
        <v>51</v>
      </c>
      <c r="B84" s="2" t="s">
        <v>52</v>
      </c>
      <c r="C84" s="3">
        <v>45770</v>
      </c>
      <c r="D84" s="2" t="s">
        <v>9</v>
      </c>
      <c r="E84" s="2" t="s">
        <v>43</v>
      </c>
      <c r="F84" s="2">
        <v>3</v>
      </c>
      <c r="G84" s="2">
        <v>181.47</v>
      </c>
    </row>
    <row r="85" spans="1:7" x14ac:dyDescent="0.2">
      <c r="A85" s="2" t="s">
        <v>51</v>
      </c>
      <c r="B85" s="2" t="s">
        <v>52</v>
      </c>
      <c r="C85" s="3">
        <v>45795</v>
      </c>
      <c r="D85" s="2" t="s">
        <v>13</v>
      </c>
      <c r="E85" s="2" t="s">
        <v>44</v>
      </c>
      <c r="F85" s="2">
        <v>2</v>
      </c>
      <c r="G85" s="2">
        <v>45.82</v>
      </c>
    </row>
    <row r="86" spans="1:7" x14ac:dyDescent="0.2">
      <c r="A86" s="2" t="s">
        <v>51</v>
      </c>
      <c r="B86" s="2" t="s">
        <v>52</v>
      </c>
      <c r="C86" s="3">
        <v>45867</v>
      </c>
      <c r="D86" s="2" t="s">
        <v>21</v>
      </c>
      <c r="E86" s="2" t="s">
        <v>30</v>
      </c>
      <c r="F86" s="2">
        <v>2</v>
      </c>
      <c r="G86" s="2">
        <v>76.239999999999995</v>
      </c>
    </row>
    <row r="87" spans="1:7" x14ac:dyDescent="0.2">
      <c r="A87" s="2" t="s">
        <v>51</v>
      </c>
      <c r="B87" s="2" t="s">
        <v>52</v>
      </c>
      <c r="C87" s="3">
        <v>45909</v>
      </c>
      <c r="D87" s="2" t="s">
        <v>13</v>
      </c>
      <c r="E87" s="2" t="s">
        <v>44</v>
      </c>
      <c r="F87" s="2">
        <v>2</v>
      </c>
      <c r="G87" s="2">
        <v>17.64</v>
      </c>
    </row>
    <row r="88" spans="1:7" x14ac:dyDescent="0.2">
      <c r="A88" s="2" t="s">
        <v>51</v>
      </c>
      <c r="B88" s="2" t="s">
        <v>52</v>
      </c>
      <c r="C88" s="3">
        <v>45930</v>
      </c>
      <c r="D88" s="2" t="s">
        <v>13</v>
      </c>
      <c r="E88" s="2" t="s">
        <v>46</v>
      </c>
      <c r="F88" s="2">
        <v>1</v>
      </c>
      <c r="G88" s="2">
        <v>22.5</v>
      </c>
    </row>
    <row r="89" spans="1:7" x14ac:dyDescent="0.2">
      <c r="A89" s="2" t="s">
        <v>51</v>
      </c>
      <c r="B89" s="2" t="s">
        <v>52</v>
      </c>
      <c r="C89" s="3">
        <v>45947</v>
      </c>
      <c r="D89" s="2" t="s">
        <v>21</v>
      </c>
      <c r="E89" s="2" t="s">
        <v>22</v>
      </c>
      <c r="F89" s="2">
        <v>1</v>
      </c>
      <c r="G89" s="2">
        <v>36.06</v>
      </c>
    </row>
    <row r="90" spans="1:7" x14ac:dyDescent="0.2">
      <c r="A90" s="2" t="s">
        <v>51</v>
      </c>
      <c r="B90" s="2" t="s">
        <v>52</v>
      </c>
      <c r="C90" s="3">
        <v>45978</v>
      </c>
      <c r="D90" s="2" t="s">
        <v>26</v>
      </c>
      <c r="E90" s="2" t="s">
        <v>27</v>
      </c>
      <c r="F90" s="2">
        <v>1</v>
      </c>
      <c r="G90" s="2">
        <v>19.07</v>
      </c>
    </row>
    <row r="91" spans="1:7" x14ac:dyDescent="0.2">
      <c r="A91" s="2" t="s">
        <v>73</v>
      </c>
      <c r="B91" s="2" t="s">
        <v>74</v>
      </c>
      <c r="C91" s="3">
        <v>45914</v>
      </c>
      <c r="D91" s="2" t="s">
        <v>9</v>
      </c>
      <c r="E91" s="2" t="s">
        <v>48</v>
      </c>
      <c r="F91" s="2">
        <v>1</v>
      </c>
      <c r="G91" s="2">
        <v>25.02</v>
      </c>
    </row>
    <row r="92" spans="1:7" x14ac:dyDescent="0.2">
      <c r="A92" s="2" t="s">
        <v>73</v>
      </c>
      <c r="B92" s="2" t="s">
        <v>74</v>
      </c>
      <c r="C92" s="3">
        <v>46008</v>
      </c>
      <c r="D92" s="2" t="s">
        <v>13</v>
      </c>
      <c r="E92" s="2" t="s">
        <v>46</v>
      </c>
      <c r="F92" s="2">
        <v>1</v>
      </c>
      <c r="G92" s="2">
        <v>14.12</v>
      </c>
    </row>
    <row r="93" spans="1:7" x14ac:dyDescent="0.2">
      <c r="A93" s="2" t="s">
        <v>7</v>
      </c>
      <c r="B93" s="2" t="s">
        <v>8</v>
      </c>
      <c r="C93" s="3">
        <v>45489</v>
      </c>
      <c r="D93" s="2" t="s">
        <v>9</v>
      </c>
      <c r="E93" s="2" t="s">
        <v>10</v>
      </c>
      <c r="F93" s="2">
        <v>2</v>
      </c>
      <c r="G93" s="2">
        <v>46.88</v>
      </c>
    </row>
    <row r="94" spans="1:7" x14ac:dyDescent="0.2">
      <c r="A94" s="2" t="s">
        <v>7</v>
      </c>
      <c r="B94" s="2" t="s">
        <v>8</v>
      </c>
      <c r="C94" s="3">
        <v>45532</v>
      </c>
      <c r="D94" s="2" t="s">
        <v>21</v>
      </c>
      <c r="E94" s="2" t="s">
        <v>22</v>
      </c>
      <c r="F94" s="2">
        <v>1</v>
      </c>
      <c r="G94" s="2">
        <v>23.17</v>
      </c>
    </row>
    <row r="95" spans="1:7" x14ac:dyDescent="0.2">
      <c r="A95" s="2" t="s">
        <v>7</v>
      </c>
      <c r="B95" s="2" t="s">
        <v>8</v>
      </c>
      <c r="C95" s="3">
        <v>45606</v>
      </c>
      <c r="D95" s="2" t="s">
        <v>9</v>
      </c>
      <c r="E95" s="2" t="s">
        <v>43</v>
      </c>
      <c r="F95" s="2">
        <v>2</v>
      </c>
      <c r="G95" s="2">
        <v>40.74</v>
      </c>
    </row>
    <row r="96" spans="1:7" x14ac:dyDescent="0.2">
      <c r="A96" s="2" t="s">
        <v>84</v>
      </c>
      <c r="B96" s="2" t="s">
        <v>85</v>
      </c>
      <c r="C96" s="3">
        <v>45931</v>
      </c>
      <c r="D96" s="2" t="s">
        <v>21</v>
      </c>
      <c r="E96" s="2" t="s">
        <v>33</v>
      </c>
      <c r="F96" s="2">
        <v>2</v>
      </c>
      <c r="G96" s="2">
        <v>83.16</v>
      </c>
    </row>
    <row r="97" spans="1:7" x14ac:dyDescent="0.2">
      <c r="A97" s="2" t="s">
        <v>84</v>
      </c>
      <c r="B97" s="2" t="s">
        <v>85</v>
      </c>
      <c r="C97" s="3">
        <v>45936</v>
      </c>
      <c r="D97" s="2" t="s">
        <v>9</v>
      </c>
      <c r="E97" s="2" t="s">
        <v>10</v>
      </c>
      <c r="F97" s="2">
        <v>1</v>
      </c>
      <c r="G97" s="2">
        <v>62.75</v>
      </c>
    </row>
    <row r="98" spans="1:7" x14ac:dyDescent="0.2">
      <c r="A98" s="2" t="s">
        <v>84</v>
      </c>
      <c r="B98" s="2" t="s">
        <v>85</v>
      </c>
      <c r="C98" s="3">
        <v>45946</v>
      </c>
      <c r="D98" s="2" t="s">
        <v>26</v>
      </c>
      <c r="E98" s="2" t="s">
        <v>27</v>
      </c>
      <c r="F98" s="2">
        <v>3</v>
      </c>
      <c r="G98" s="2">
        <v>108.42</v>
      </c>
    </row>
    <row r="99" spans="1:7" x14ac:dyDescent="0.2">
      <c r="A99" s="2" t="s">
        <v>84</v>
      </c>
      <c r="B99" s="2" t="s">
        <v>85</v>
      </c>
      <c r="C99" s="3">
        <v>45951</v>
      </c>
      <c r="D99" s="2" t="s">
        <v>21</v>
      </c>
      <c r="E99" s="2" t="s">
        <v>22</v>
      </c>
      <c r="F99" s="2">
        <v>1</v>
      </c>
      <c r="G99" s="2">
        <v>44.85</v>
      </c>
    </row>
    <row r="100" spans="1:7" x14ac:dyDescent="0.2">
      <c r="A100" s="2" t="s">
        <v>84</v>
      </c>
      <c r="B100" s="2" t="s">
        <v>85</v>
      </c>
      <c r="C100" s="3">
        <v>45952</v>
      </c>
      <c r="D100" s="2" t="s">
        <v>9</v>
      </c>
      <c r="E100" s="2" t="s">
        <v>43</v>
      </c>
      <c r="F100" s="2">
        <v>2</v>
      </c>
      <c r="G100" s="2">
        <v>78.260000000000005</v>
      </c>
    </row>
    <row r="101" spans="1:7" x14ac:dyDescent="0.2">
      <c r="A101" s="2" t="s">
        <v>84</v>
      </c>
      <c r="B101" s="2" t="s">
        <v>85</v>
      </c>
      <c r="C101" s="3">
        <v>45967</v>
      </c>
      <c r="D101" s="2" t="s">
        <v>17</v>
      </c>
      <c r="E101" s="2" t="s">
        <v>18</v>
      </c>
      <c r="F101" s="2">
        <v>1</v>
      </c>
      <c r="G101" s="2">
        <v>48.6</v>
      </c>
    </row>
    <row r="102" spans="1:7" x14ac:dyDescent="0.2">
      <c r="A102" s="2" t="s">
        <v>84</v>
      </c>
      <c r="B102" s="2" t="s">
        <v>85</v>
      </c>
      <c r="C102" s="3">
        <v>45971</v>
      </c>
      <c r="D102" s="2" t="s">
        <v>21</v>
      </c>
      <c r="E102" s="2" t="s">
        <v>23</v>
      </c>
      <c r="F102" s="2">
        <v>2</v>
      </c>
      <c r="G102" s="2">
        <v>83.54</v>
      </c>
    </row>
    <row r="103" spans="1:7" x14ac:dyDescent="0.2">
      <c r="A103" s="2" t="s">
        <v>84</v>
      </c>
      <c r="B103" s="2" t="s">
        <v>85</v>
      </c>
      <c r="C103" s="3">
        <v>45980</v>
      </c>
      <c r="D103" s="2" t="s">
        <v>9</v>
      </c>
      <c r="E103" s="2" t="s">
        <v>10</v>
      </c>
      <c r="F103" s="2">
        <v>3</v>
      </c>
      <c r="G103" s="2">
        <v>170.85</v>
      </c>
    </row>
    <row r="104" spans="1:7" x14ac:dyDescent="0.2">
      <c r="A104" s="2" t="s">
        <v>84</v>
      </c>
      <c r="B104" s="2" t="s">
        <v>85</v>
      </c>
      <c r="C104" s="3">
        <v>46004</v>
      </c>
      <c r="D104" s="2" t="s">
        <v>9</v>
      </c>
      <c r="E104" s="2" t="s">
        <v>48</v>
      </c>
      <c r="F104" s="2">
        <v>1</v>
      </c>
      <c r="G104" s="2">
        <v>57.38</v>
      </c>
    </row>
    <row r="105" spans="1:7" x14ac:dyDescent="0.2">
      <c r="A105" s="2" t="s">
        <v>84</v>
      </c>
      <c r="B105" s="2" t="s">
        <v>85</v>
      </c>
      <c r="C105" s="3">
        <v>46009</v>
      </c>
      <c r="D105" s="2" t="s">
        <v>21</v>
      </c>
      <c r="E105" s="2" t="s">
        <v>23</v>
      </c>
      <c r="F105" s="2">
        <v>1</v>
      </c>
      <c r="G105" s="2">
        <v>52.4</v>
      </c>
    </row>
    <row r="106" spans="1:7" x14ac:dyDescent="0.2">
      <c r="A106" s="2" t="s">
        <v>84</v>
      </c>
      <c r="B106" s="2" t="s">
        <v>85</v>
      </c>
      <c r="C106" s="3">
        <v>46010</v>
      </c>
      <c r="D106" s="2" t="s">
        <v>13</v>
      </c>
      <c r="E106" s="2" t="s">
        <v>44</v>
      </c>
      <c r="F106" s="2">
        <v>2</v>
      </c>
      <c r="G106" s="2">
        <v>44.54</v>
      </c>
    </row>
    <row r="107" spans="1:7" x14ac:dyDescent="0.2">
      <c r="A107" s="2" t="s">
        <v>15</v>
      </c>
      <c r="B107" s="2" t="s">
        <v>16</v>
      </c>
      <c r="C107" s="3">
        <v>45508</v>
      </c>
      <c r="D107" s="2" t="s">
        <v>17</v>
      </c>
      <c r="E107" s="2" t="s">
        <v>18</v>
      </c>
      <c r="F107" s="2">
        <v>3</v>
      </c>
      <c r="G107" s="2">
        <v>74.22</v>
      </c>
    </row>
    <row r="108" spans="1:7" x14ac:dyDescent="0.2">
      <c r="A108" s="2" t="s">
        <v>15</v>
      </c>
      <c r="B108" s="2" t="s">
        <v>16</v>
      </c>
      <c r="C108" s="3">
        <v>45514</v>
      </c>
      <c r="D108" s="2" t="s">
        <v>21</v>
      </c>
      <c r="E108" s="2" t="s">
        <v>23</v>
      </c>
      <c r="F108" s="2">
        <v>3</v>
      </c>
      <c r="G108" s="2">
        <v>89.13</v>
      </c>
    </row>
    <row r="109" spans="1:7" x14ac:dyDescent="0.2">
      <c r="A109" s="2" t="s">
        <v>15</v>
      </c>
      <c r="B109" s="2" t="s">
        <v>16</v>
      </c>
      <c r="C109" s="3">
        <v>45523</v>
      </c>
      <c r="D109" s="2" t="s">
        <v>26</v>
      </c>
      <c r="E109" s="2" t="s">
        <v>27</v>
      </c>
      <c r="F109" s="2">
        <v>2</v>
      </c>
      <c r="G109" s="2">
        <v>42.32</v>
      </c>
    </row>
    <row r="110" spans="1:7" x14ac:dyDescent="0.2">
      <c r="A110" s="2" t="s">
        <v>15</v>
      </c>
      <c r="B110" s="2" t="s">
        <v>16</v>
      </c>
      <c r="C110" s="3">
        <v>45525</v>
      </c>
      <c r="D110" s="2" t="s">
        <v>21</v>
      </c>
      <c r="E110" s="2" t="s">
        <v>33</v>
      </c>
      <c r="F110" s="2">
        <v>3</v>
      </c>
      <c r="G110" s="2">
        <v>99.9</v>
      </c>
    </row>
    <row r="111" spans="1:7" x14ac:dyDescent="0.2">
      <c r="A111" s="2" t="s">
        <v>69</v>
      </c>
      <c r="B111" s="2" t="s">
        <v>70</v>
      </c>
      <c r="C111" s="3">
        <v>45884</v>
      </c>
      <c r="D111" s="2" t="s">
        <v>17</v>
      </c>
      <c r="E111" s="2" t="s">
        <v>36</v>
      </c>
      <c r="F111" s="2">
        <v>3</v>
      </c>
      <c r="G111" s="2">
        <v>112.5</v>
      </c>
    </row>
    <row r="112" spans="1:7" x14ac:dyDescent="0.2">
      <c r="A112" s="2" t="s">
        <v>69</v>
      </c>
      <c r="B112" s="2" t="s">
        <v>70</v>
      </c>
      <c r="C112" s="3">
        <v>45976</v>
      </c>
      <c r="D112" s="2" t="s">
        <v>26</v>
      </c>
      <c r="E112" s="2" t="s">
        <v>42</v>
      </c>
      <c r="F112" s="2">
        <v>1</v>
      </c>
      <c r="G112" s="2">
        <v>20.51</v>
      </c>
    </row>
    <row r="113" spans="1:7" x14ac:dyDescent="0.2">
      <c r="A113" s="2" t="s">
        <v>69</v>
      </c>
      <c r="B113" s="2" t="s">
        <v>70</v>
      </c>
      <c r="C113" s="3">
        <v>45984</v>
      </c>
      <c r="D113" s="2" t="s">
        <v>17</v>
      </c>
      <c r="E113" s="2" t="s">
        <v>45</v>
      </c>
      <c r="F113" s="2">
        <v>3</v>
      </c>
      <c r="G113" s="2">
        <v>121.71</v>
      </c>
    </row>
    <row r="114" spans="1:7" x14ac:dyDescent="0.2">
      <c r="A114" s="2" t="s">
        <v>61</v>
      </c>
      <c r="B114" s="2" t="s">
        <v>62</v>
      </c>
      <c r="C114" s="3">
        <v>45832</v>
      </c>
      <c r="D114" s="2" t="s">
        <v>17</v>
      </c>
      <c r="E114" s="2" t="s">
        <v>47</v>
      </c>
      <c r="F114" s="2">
        <v>1</v>
      </c>
      <c r="G114" s="2">
        <v>33.299999999999997</v>
      </c>
    </row>
    <row r="115" spans="1:7" x14ac:dyDescent="0.2">
      <c r="A115" s="2" t="s">
        <v>61</v>
      </c>
      <c r="B115" s="2" t="s">
        <v>62</v>
      </c>
      <c r="C115" s="3">
        <v>45848</v>
      </c>
      <c r="D115" s="2" t="s">
        <v>13</v>
      </c>
      <c r="E115" s="2" t="s">
        <v>14</v>
      </c>
      <c r="F115" s="2">
        <v>2</v>
      </c>
      <c r="G115" s="2">
        <v>34.82</v>
      </c>
    </row>
    <row r="116" spans="1:7" x14ac:dyDescent="0.2">
      <c r="A116" s="2" t="s">
        <v>61</v>
      </c>
      <c r="B116" s="2" t="s">
        <v>62</v>
      </c>
      <c r="C116" s="3">
        <v>45883</v>
      </c>
      <c r="D116" s="2" t="s">
        <v>13</v>
      </c>
      <c r="E116" s="2" t="s">
        <v>46</v>
      </c>
      <c r="F116" s="2">
        <v>2</v>
      </c>
      <c r="G116" s="2">
        <v>18.78</v>
      </c>
    </row>
    <row r="117" spans="1:7" x14ac:dyDescent="0.2">
      <c r="A117" s="2" t="s">
        <v>61</v>
      </c>
      <c r="B117" s="2" t="s">
        <v>62</v>
      </c>
      <c r="C117" s="3">
        <v>45888</v>
      </c>
      <c r="D117" s="2" t="s">
        <v>9</v>
      </c>
      <c r="E117" s="2" t="s">
        <v>10</v>
      </c>
      <c r="F117" s="2">
        <v>3</v>
      </c>
      <c r="G117" s="2">
        <v>94.92</v>
      </c>
    </row>
    <row r="118" spans="1:7" x14ac:dyDescent="0.2">
      <c r="A118" s="2" t="s">
        <v>61</v>
      </c>
      <c r="B118" s="2" t="s">
        <v>62</v>
      </c>
      <c r="C118" s="3">
        <v>45888</v>
      </c>
      <c r="D118" s="2" t="s">
        <v>26</v>
      </c>
      <c r="E118" s="2" t="s">
        <v>27</v>
      </c>
      <c r="F118" s="2">
        <v>1</v>
      </c>
      <c r="G118" s="2">
        <v>15.39</v>
      </c>
    </row>
    <row r="119" spans="1:7" x14ac:dyDescent="0.2">
      <c r="A119" s="2" t="s">
        <v>61</v>
      </c>
      <c r="B119" s="2" t="s">
        <v>62</v>
      </c>
      <c r="C119" s="3">
        <v>45943</v>
      </c>
      <c r="D119" s="2" t="s">
        <v>26</v>
      </c>
      <c r="E119" s="2" t="s">
        <v>42</v>
      </c>
      <c r="F119" s="2">
        <v>2</v>
      </c>
      <c r="G119" s="2">
        <v>28.64</v>
      </c>
    </row>
    <row r="120" spans="1:7" x14ac:dyDescent="0.2">
      <c r="A120" s="2" t="s">
        <v>61</v>
      </c>
      <c r="B120" s="2" t="s">
        <v>62</v>
      </c>
      <c r="C120" s="3">
        <v>45961</v>
      </c>
      <c r="D120" s="2" t="s">
        <v>9</v>
      </c>
      <c r="E120" s="2" t="s">
        <v>10</v>
      </c>
      <c r="F120" s="2">
        <v>1</v>
      </c>
      <c r="G120" s="2">
        <v>46.8</v>
      </c>
    </row>
    <row r="121" spans="1:7" x14ac:dyDescent="0.2">
      <c r="A121" s="2" t="s">
        <v>61</v>
      </c>
      <c r="B121" s="2" t="s">
        <v>62</v>
      </c>
      <c r="C121" s="3">
        <v>45994</v>
      </c>
      <c r="D121" s="2" t="s">
        <v>26</v>
      </c>
      <c r="E121" s="2" t="s">
        <v>42</v>
      </c>
      <c r="F121" s="2">
        <v>3</v>
      </c>
      <c r="G121" s="2">
        <v>41.58</v>
      </c>
    </row>
    <row r="122" spans="1:7" x14ac:dyDescent="0.2">
      <c r="A122" s="2" t="s">
        <v>37</v>
      </c>
      <c r="B122" s="2" t="s">
        <v>38</v>
      </c>
      <c r="C122" s="3">
        <v>45534</v>
      </c>
      <c r="D122" s="2" t="s">
        <v>26</v>
      </c>
      <c r="E122" s="2" t="s">
        <v>39</v>
      </c>
      <c r="F122" s="2">
        <v>1</v>
      </c>
      <c r="G122" s="2">
        <v>14.78</v>
      </c>
    </row>
    <row r="123" spans="1:7" x14ac:dyDescent="0.2">
      <c r="A123" s="2" t="s">
        <v>37</v>
      </c>
      <c r="B123" s="2" t="s">
        <v>38</v>
      </c>
      <c r="C123" s="3">
        <v>45557</v>
      </c>
      <c r="D123" s="2" t="s">
        <v>13</v>
      </c>
      <c r="E123" s="2" t="s">
        <v>44</v>
      </c>
      <c r="F123" s="2">
        <v>1</v>
      </c>
      <c r="G123" s="2">
        <v>5.33</v>
      </c>
    </row>
    <row r="124" spans="1:7" x14ac:dyDescent="0.2">
      <c r="A124" s="2" t="s">
        <v>71</v>
      </c>
      <c r="B124" s="2" t="s">
        <v>72</v>
      </c>
      <c r="C124" s="3">
        <v>45893</v>
      </c>
      <c r="D124" s="2" t="s">
        <v>21</v>
      </c>
      <c r="E124" s="2" t="s">
        <v>23</v>
      </c>
      <c r="F124" s="2">
        <v>1</v>
      </c>
      <c r="G124" s="2">
        <v>61.06</v>
      </c>
    </row>
    <row r="125" spans="1:7" x14ac:dyDescent="0.2">
      <c r="A125" s="2" t="s">
        <v>71</v>
      </c>
      <c r="B125" s="2" t="s">
        <v>72</v>
      </c>
      <c r="C125" s="3">
        <v>45904</v>
      </c>
      <c r="D125" s="2" t="s">
        <v>9</v>
      </c>
      <c r="E125" s="2" t="s">
        <v>43</v>
      </c>
      <c r="F125" s="2">
        <v>1</v>
      </c>
      <c r="G125" s="2">
        <v>46.81</v>
      </c>
    </row>
    <row r="126" spans="1:7" x14ac:dyDescent="0.2">
      <c r="A126" s="2" t="s">
        <v>71</v>
      </c>
      <c r="B126" s="2" t="s">
        <v>72</v>
      </c>
      <c r="C126" s="3">
        <v>45911</v>
      </c>
      <c r="D126" s="2" t="s">
        <v>9</v>
      </c>
      <c r="E126" s="2" t="s">
        <v>43</v>
      </c>
      <c r="F126" s="2">
        <v>1</v>
      </c>
      <c r="G126" s="2">
        <v>74.180000000000007</v>
      </c>
    </row>
    <row r="127" spans="1:7" x14ac:dyDescent="0.2">
      <c r="A127" s="2" t="s">
        <v>71</v>
      </c>
      <c r="B127" s="2" t="s">
        <v>72</v>
      </c>
      <c r="C127" s="3">
        <v>45924</v>
      </c>
      <c r="D127" s="2" t="s">
        <v>17</v>
      </c>
      <c r="E127" s="2" t="s">
        <v>36</v>
      </c>
      <c r="F127" s="2">
        <v>1</v>
      </c>
      <c r="G127" s="2">
        <v>55.42</v>
      </c>
    </row>
    <row r="128" spans="1:7" x14ac:dyDescent="0.2">
      <c r="A128" s="2" t="s">
        <v>71</v>
      </c>
      <c r="B128" s="2" t="s">
        <v>72</v>
      </c>
      <c r="C128" s="3">
        <v>45930</v>
      </c>
      <c r="D128" s="2" t="s">
        <v>21</v>
      </c>
      <c r="E128" s="2" t="s">
        <v>22</v>
      </c>
      <c r="F128" s="2">
        <v>2</v>
      </c>
      <c r="G128" s="2">
        <v>127.58</v>
      </c>
    </row>
    <row r="129" spans="1:7" x14ac:dyDescent="0.2">
      <c r="A129" s="2" t="s">
        <v>71</v>
      </c>
      <c r="B129" s="2" t="s">
        <v>72</v>
      </c>
      <c r="C129" s="3">
        <v>45943</v>
      </c>
      <c r="D129" s="2" t="s">
        <v>13</v>
      </c>
      <c r="E129" s="2" t="s">
        <v>44</v>
      </c>
      <c r="F129" s="2">
        <v>3</v>
      </c>
      <c r="G129" s="2">
        <v>93.39</v>
      </c>
    </row>
    <row r="130" spans="1:7" x14ac:dyDescent="0.2">
      <c r="A130" s="2" t="s">
        <v>71</v>
      </c>
      <c r="B130" s="2" t="s">
        <v>72</v>
      </c>
      <c r="C130" s="3">
        <v>45950</v>
      </c>
      <c r="D130" s="2" t="s">
        <v>13</v>
      </c>
      <c r="E130" s="2" t="s">
        <v>14</v>
      </c>
      <c r="F130" s="2">
        <v>2</v>
      </c>
      <c r="G130" s="2">
        <v>44.14</v>
      </c>
    </row>
    <row r="131" spans="1:7" x14ac:dyDescent="0.2">
      <c r="A131" s="2" t="s">
        <v>71</v>
      </c>
      <c r="B131" s="2" t="s">
        <v>72</v>
      </c>
      <c r="C131" s="3">
        <v>45956</v>
      </c>
      <c r="D131" s="2" t="s">
        <v>13</v>
      </c>
      <c r="E131" s="2" t="s">
        <v>14</v>
      </c>
      <c r="F131" s="2">
        <v>1</v>
      </c>
      <c r="G131" s="2">
        <v>15.22</v>
      </c>
    </row>
    <row r="132" spans="1:7" x14ac:dyDescent="0.2">
      <c r="A132" s="2" t="s">
        <v>71</v>
      </c>
      <c r="B132" s="2" t="s">
        <v>72</v>
      </c>
      <c r="C132" s="3">
        <v>45963</v>
      </c>
      <c r="D132" s="2" t="s">
        <v>13</v>
      </c>
      <c r="E132" s="2" t="s">
        <v>46</v>
      </c>
      <c r="F132" s="2">
        <v>2</v>
      </c>
      <c r="G132" s="2">
        <v>30.72</v>
      </c>
    </row>
    <row r="133" spans="1:7" x14ac:dyDescent="0.2">
      <c r="A133" s="2" t="s">
        <v>71</v>
      </c>
      <c r="B133" s="2" t="s">
        <v>72</v>
      </c>
      <c r="C133" s="3">
        <v>45972</v>
      </c>
      <c r="D133" s="2" t="s">
        <v>13</v>
      </c>
      <c r="E133" s="2" t="s">
        <v>44</v>
      </c>
      <c r="F133" s="2">
        <v>1</v>
      </c>
      <c r="G133" s="2">
        <v>19.239999999999998</v>
      </c>
    </row>
    <row r="134" spans="1:7" x14ac:dyDescent="0.2">
      <c r="A134" s="2" t="s">
        <v>71</v>
      </c>
      <c r="B134" s="2" t="s">
        <v>72</v>
      </c>
      <c r="C134" s="3">
        <v>45973</v>
      </c>
      <c r="D134" s="2" t="s">
        <v>17</v>
      </c>
      <c r="E134" s="2" t="s">
        <v>18</v>
      </c>
      <c r="F134" s="2">
        <v>2</v>
      </c>
      <c r="G134" s="2">
        <v>115.76</v>
      </c>
    </row>
    <row r="135" spans="1:7" x14ac:dyDescent="0.2">
      <c r="A135" s="2" t="s">
        <v>71</v>
      </c>
      <c r="B135" s="2" t="s">
        <v>72</v>
      </c>
      <c r="C135" s="3">
        <v>45981</v>
      </c>
      <c r="D135" s="2" t="s">
        <v>13</v>
      </c>
      <c r="E135" s="2" t="s">
        <v>46</v>
      </c>
      <c r="F135" s="2">
        <v>2</v>
      </c>
      <c r="G135" s="2">
        <v>41.28</v>
      </c>
    </row>
    <row r="136" spans="1:7" x14ac:dyDescent="0.2">
      <c r="A136" s="2" t="s">
        <v>71</v>
      </c>
      <c r="B136" s="2" t="s">
        <v>72</v>
      </c>
      <c r="C136" s="3">
        <v>46007</v>
      </c>
      <c r="D136" s="2" t="s">
        <v>9</v>
      </c>
      <c r="E136" s="2" t="s">
        <v>48</v>
      </c>
      <c r="F136" s="2">
        <v>1</v>
      </c>
      <c r="G136" s="2">
        <v>66.959999999999994</v>
      </c>
    </row>
    <row r="137" spans="1:7" x14ac:dyDescent="0.2">
      <c r="A137" s="2" t="s">
        <v>19</v>
      </c>
      <c r="B137" s="2" t="s">
        <v>20</v>
      </c>
      <c r="C137" s="3">
        <v>45509</v>
      </c>
      <c r="D137" s="2" t="s">
        <v>21</v>
      </c>
      <c r="E137" s="2" t="s">
        <v>22</v>
      </c>
      <c r="F137" s="2">
        <v>1</v>
      </c>
      <c r="G137" s="2">
        <v>30.1</v>
      </c>
    </row>
    <row r="138" spans="1:7" x14ac:dyDescent="0.2">
      <c r="A138" s="2" t="s">
        <v>19</v>
      </c>
      <c r="B138" s="2" t="s">
        <v>20</v>
      </c>
      <c r="C138" s="3">
        <v>45554</v>
      </c>
      <c r="D138" s="2" t="s">
        <v>9</v>
      </c>
      <c r="E138" s="2" t="s">
        <v>43</v>
      </c>
      <c r="F138" s="2">
        <v>2</v>
      </c>
      <c r="G138" s="2">
        <v>48.9</v>
      </c>
    </row>
    <row r="139" spans="1:7" x14ac:dyDescent="0.2">
      <c r="A139" s="2" t="s">
        <v>19</v>
      </c>
      <c r="B139" s="2" t="s">
        <v>20</v>
      </c>
      <c r="C139" s="3">
        <v>45596</v>
      </c>
      <c r="D139" s="2" t="s">
        <v>17</v>
      </c>
      <c r="E139" s="2" t="s">
        <v>36</v>
      </c>
      <c r="F139" s="2">
        <v>3</v>
      </c>
      <c r="G139" s="2">
        <v>51.57</v>
      </c>
    </row>
    <row r="140" spans="1:7" x14ac:dyDescent="0.2">
      <c r="A140" s="2" t="s">
        <v>19</v>
      </c>
      <c r="B140" s="2" t="s">
        <v>20</v>
      </c>
      <c r="C140" s="3">
        <v>45601</v>
      </c>
      <c r="D140" s="2" t="s">
        <v>9</v>
      </c>
      <c r="E140" s="2" t="s">
        <v>48</v>
      </c>
      <c r="F140" s="2">
        <v>1</v>
      </c>
      <c r="G140" s="2">
        <v>25.49</v>
      </c>
    </row>
    <row r="141" spans="1:7" x14ac:dyDescent="0.2">
      <c r="A141" s="2" t="s">
        <v>19</v>
      </c>
      <c r="B141" s="2" t="s">
        <v>20</v>
      </c>
      <c r="C141" s="3">
        <v>45655</v>
      </c>
      <c r="D141" s="2" t="s">
        <v>9</v>
      </c>
      <c r="E141" s="2" t="s">
        <v>48</v>
      </c>
      <c r="F141" s="2">
        <v>2</v>
      </c>
      <c r="G141" s="2">
        <v>59.7</v>
      </c>
    </row>
    <row r="142" spans="1:7" x14ac:dyDescent="0.2">
      <c r="A142" s="2" t="s">
        <v>88</v>
      </c>
      <c r="B142" s="2" t="s">
        <v>89</v>
      </c>
      <c r="C142" s="3">
        <v>45979</v>
      </c>
      <c r="D142" s="2" t="s">
        <v>21</v>
      </c>
      <c r="E142" s="2" t="s">
        <v>23</v>
      </c>
      <c r="F142" s="2">
        <v>1</v>
      </c>
      <c r="G142" s="2">
        <v>19.55</v>
      </c>
    </row>
    <row r="143" spans="1:7" x14ac:dyDescent="0.2">
      <c r="A143" s="2" t="s">
        <v>88</v>
      </c>
      <c r="B143" s="2" t="s">
        <v>89</v>
      </c>
      <c r="C143" s="3">
        <v>46017</v>
      </c>
      <c r="D143" s="2" t="s">
        <v>9</v>
      </c>
      <c r="E143" s="2" t="s">
        <v>10</v>
      </c>
      <c r="F143" s="2">
        <v>2</v>
      </c>
      <c r="G143" s="2">
        <v>60.04</v>
      </c>
    </row>
    <row r="144" spans="1:7" x14ac:dyDescent="0.2">
      <c r="A144" s="2" t="s">
        <v>55</v>
      </c>
      <c r="B144" s="2" t="s">
        <v>56</v>
      </c>
      <c r="C144" s="3">
        <v>45792</v>
      </c>
      <c r="D144" s="2" t="s">
        <v>13</v>
      </c>
      <c r="E144" s="2" t="s">
        <v>44</v>
      </c>
      <c r="F144" s="2">
        <v>1</v>
      </c>
      <c r="G144" s="2">
        <v>11.85</v>
      </c>
    </row>
    <row r="145" spans="1:7" x14ac:dyDescent="0.2">
      <c r="A145" s="2" t="s">
        <v>55</v>
      </c>
      <c r="B145" s="2" t="s">
        <v>56</v>
      </c>
      <c r="C145" s="3">
        <v>45852</v>
      </c>
      <c r="D145" s="2" t="s">
        <v>13</v>
      </c>
      <c r="E145" s="2" t="s">
        <v>44</v>
      </c>
      <c r="F145" s="2">
        <v>1</v>
      </c>
      <c r="G145" s="2">
        <v>19.09</v>
      </c>
    </row>
    <row r="146" spans="1:7" x14ac:dyDescent="0.2">
      <c r="A146" s="2" t="s">
        <v>55</v>
      </c>
      <c r="B146" s="2" t="s">
        <v>56</v>
      </c>
      <c r="C146" s="3">
        <v>45872</v>
      </c>
      <c r="D146" s="2" t="s">
        <v>21</v>
      </c>
      <c r="E146" s="2" t="s">
        <v>33</v>
      </c>
      <c r="F146" s="2">
        <v>1</v>
      </c>
      <c r="G146" s="2">
        <v>25.87</v>
      </c>
    </row>
    <row r="147" spans="1:7" x14ac:dyDescent="0.2">
      <c r="A147" s="2" t="s">
        <v>55</v>
      </c>
      <c r="B147" s="2" t="s">
        <v>56</v>
      </c>
      <c r="C147" s="3">
        <v>45924</v>
      </c>
      <c r="D147" s="2" t="s">
        <v>21</v>
      </c>
      <c r="E147" s="2" t="s">
        <v>22</v>
      </c>
      <c r="F147" s="2">
        <v>2</v>
      </c>
      <c r="G147" s="2">
        <v>81.680000000000007</v>
      </c>
    </row>
    <row r="148" spans="1:7" x14ac:dyDescent="0.2">
      <c r="A148" s="2" t="s">
        <v>55</v>
      </c>
      <c r="B148" s="2" t="s">
        <v>56</v>
      </c>
      <c r="C148" s="3">
        <v>45937</v>
      </c>
      <c r="D148" s="2" t="s">
        <v>9</v>
      </c>
      <c r="E148" s="2" t="s">
        <v>43</v>
      </c>
      <c r="F148" s="2">
        <v>2</v>
      </c>
      <c r="G148" s="2">
        <v>87.48</v>
      </c>
    </row>
    <row r="149" spans="1:7" x14ac:dyDescent="0.2">
      <c r="A149" s="2" t="s">
        <v>55</v>
      </c>
      <c r="B149" s="2" t="s">
        <v>56</v>
      </c>
      <c r="C149" s="3">
        <v>45984</v>
      </c>
      <c r="D149" s="2" t="s">
        <v>26</v>
      </c>
      <c r="E149" s="2" t="s">
        <v>39</v>
      </c>
      <c r="F149" s="2">
        <v>3</v>
      </c>
      <c r="G149" s="2">
        <v>66.150000000000006</v>
      </c>
    </row>
    <row r="150" spans="1:7" x14ac:dyDescent="0.2">
      <c r="A150" s="2" t="s">
        <v>55</v>
      </c>
      <c r="B150" s="2" t="s">
        <v>56</v>
      </c>
      <c r="C150" s="3">
        <v>45990</v>
      </c>
      <c r="D150" s="2" t="s">
        <v>26</v>
      </c>
      <c r="E150" s="2" t="s">
        <v>42</v>
      </c>
      <c r="F150" s="2">
        <v>2</v>
      </c>
      <c r="G150" s="2">
        <v>26.46</v>
      </c>
    </row>
    <row r="151" spans="1:7" x14ac:dyDescent="0.2">
      <c r="A151" s="2" t="s">
        <v>49</v>
      </c>
      <c r="B151" s="2" t="s">
        <v>50</v>
      </c>
      <c r="C151" s="3">
        <v>45652</v>
      </c>
      <c r="D151" s="2" t="s">
        <v>17</v>
      </c>
      <c r="E151" s="2" t="s">
        <v>18</v>
      </c>
      <c r="F151" s="2">
        <v>1</v>
      </c>
      <c r="G151" s="2">
        <v>17.11</v>
      </c>
    </row>
    <row r="152" spans="1:7" x14ac:dyDescent="0.2">
      <c r="A152" s="2" t="s">
        <v>49</v>
      </c>
      <c r="B152" s="2" t="s">
        <v>50</v>
      </c>
      <c r="C152" s="3">
        <v>45702</v>
      </c>
      <c r="D152" s="2" t="s">
        <v>26</v>
      </c>
      <c r="E152" s="2" t="s">
        <v>39</v>
      </c>
      <c r="F152" s="2">
        <v>2</v>
      </c>
      <c r="G152" s="2">
        <v>27.86</v>
      </c>
    </row>
    <row r="153" spans="1:7" x14ac:dyDescent="0.2">
      <c r="A153" s="2" t="s">
        <v>57</v>
      </c>
      <c r="B153" s="2" t="s">
        <v>58</v>
      </c>
      <c r="C153" s="3">
        <v>45821</v>
      </c>
      <c r="D153" s="2" t="s">
        <v>26</v>
      </c>
      <c r="E153" s="2" t="s">
        <v>42</v>
      </c>
      <c r="F153" s="2">
        <v>1</v>
      </c>
      <c r="G153" s="2">
        <v>24.53</v>
      </c>
    </row>
    <row r="154" spans="1:7" x14ac:dyDescent="0.2">
      <c r="A154" s="2" t="s">
        <v>57</v>
      </c>
      <c r="B154" s="2" t="s">
        <v>58</v>
      </c>
      <c r="C154" s="3">
        <v>45834</v>
      </c>
      <c r="D154" s="2" t="s">
        <v>26</v>
      </c>
      <c r="E154" s="2" t="s">
        <v>39</v>
      </c>
      <c r="F154" s="2">
        <v>3</v>
      </c>
      <c r="G154" s="2">
        <v>55.98</v>
      </c>
    </row>
    <row r="155" spans="1:7" x14ac:dyDescent="0.2">
      <c r="A155" s="2" t="s">
        <v>57</v>
      </c>
      <c r="B155" s="2" t="s">
        <v>58</v>
      </c>
      <c r="C155" s="3">
        <v>45892</v>
      </c>
      <c r="D155" s="2" t="s">
        <v>13</v>
      </c>
      <c r="E155" s="2" t="s">
        <v>14</v>
      </c>
      <c r="F155" s="2">
        <v>2</v>
      </c>
      <c r="G155" s="2">
        <v>38.520000000000003</v>
      </c>
    </row>
    <row r="156" spans="1:7" x14ac:dyDescent="0.2">
      <c r="A156" s="2" t="s">
        <v>57</v>
      </c>
      <c r="B156" s="2" t="s">
        <v>58</v>
      </c>
      <c r="C156" s="3">
        <v>45898</v>
      </c>
      <c r="D156" s="2" t="s">
        <v>13</v>
      </c>
      <c r="E156" s="2" t="s">
        <v>46</v>
      </c>
      <c r="F156" s="2">
        <v>1</v>
      </c>
      <c r="G156" s="2">
        <v>10.92</v>
      </c>
    </row>
    <row r="157" spans="1:7" x14ac:dyDescent="0.2">
      <c r="A157" s="2" t="s">
        <v>57</v>
      </c>
      <c r="B157" s="2" t="s">
        <v>58</v>
      </c>
      <c r="C157" s="3">
        <v>45958</v>
      </c>
      <c r="D157" s="2" t="s">
        <v>9</v>
      </c>
      <c r="E157" s="2" t="s">
        <v>48</v>
      </c>
      <c r="F157" s="2">
        <v>2</v>
      </c>
      <c r="G157" s="2">
        <v>82.94</v>
      </c>
    </row>
    <row r="158" spans="1:7" x14ac:dyDescent="0.2">
      <c r="A158" s="2" t="s">
        <v>57</v>
      </c>
      <c r="B158" s="2" t="s">
        <v>58</v>
      </c>
      <c r="C158" s="3">
        <v>45988</v>
      </c>
      <c r="D158" s="2" t="s">
        <v>9</v>
      </c>
      <c r="E158" s="2" t="s">
        <v>43</v>
      </c>
      <c r="F158" s="2">
        <v>1</v>
      </c>
      <c r="G158" s="2">
        <v>35.82</v>
      </c>
    </row>
    <row r="159" spans="1:7" x14ac:dyDescent="0.2">
      <c r="A159" s="2" t="s">
        <v>82</v>
      </c>
      <c r="B159" s="2" t="s">
        <v>83</v>
      </c>
      <c r="C159" s="3">
        <v>45921</v>
      </c>
      <c r="D159" s="2" t="s">
        <v>9</v>
      </c>
      <c r="E159" s="2" t="s">
        <v>48</v>
      </c>
      <c r="F159" s="2">
        <v>2</v>
      </c>
      <c r="G159" s="2">
        <v>63.14</v>
      </c>
    </row>
    <row r="160" spans="1:7" x14ac:dyDescent="0.2">
      <c r="A160" s="2" t="s">
        <v>82</v>
      </c>
      <c r="B160" s="2" t="s">
        <v>83</v>
      </c>
      <c r="C160" s="3">
        <v>45987</v>
      </c>
      <c r="D160" s="2" t="s">
        <v>9</v>
      </c>
      <c r="E160" s="2" t="s">
        <v>48</v>
      </c>
      <c r="F160" s="2">
        <v>2</v>
      </c>
      <c r="G160" s="2">
        <v>123.1</v>
      </c>
    </row>
    <row r="161" spans="1:7" x14ac:dyDescent="0.2">
      <c r="A161" s="2" t="s">
        <v>82</v>
      </c>
      <c r="B161" s="2" t="s">
        <v>83</v>
      </c>
      <c r="C161" s="3">
        <v>45987</v>
      </c>
      <c r="D161" s="2" t="s">
        <v>17</v>
      </c>
      <c r="E161" s="2" t="s">
        <v>47</v>
      </c>
      <c r="F161" s="2">
        <v>1</v>
      </c>
      <c r="G161" s="2">
        <v>41.01</v>
      </c>
    </row>
    <row r="162" spans="1:7" x14ac:dyDescent="0.2">
      <c r="A162" s="2" t="s">
        <v>24</v>
      </c>
      <c r="B162" s="2" t="s">
        <v>25</v>
      </c>
      <c r="C162" s="3">
        <v>45518</v>
      </c>
      <c r="D162" s="2" t="s">
        <v>26</v>
      </c>
      <c r="E162" s="2" t="s">
        <v>27</v>
      </c>
      <c r="F162" s="2">
        <v>1</v>
      </c>
      <c r="G162" s="2">
        <v>14.02</v>
      </c>
    </row>
    <row r="163" spans="1:7" x14ac:dyDescent="0.2">
      <c r="A163" s="2" t="s">
        <v>24</v>
      </c>
      <c r="B163" s="2" t="s">
        <v>25</v>
      </c>
      <c r="C163" s="3">
        <v>45563</v>
      </c>
      <c r="D163" s="2" t="s">
        <v>26</v>
      </c>
      <c r="E163" s="2" t="s">
        <v>39</v>
      </c>
      <c r="F163" s="2">
        <v>1</v>
      </c>
      <c r="G163" s="2">
        <v>18.54</v>
      </c>
    </row>
    <row r="164" spans="1:7" x14ac:dyDescent="0.2">
      <c r="A164" s="2" t="s">
        <v>24</v>
      </c>
      <c r="B164" s="2" t="s">
        <v>25</v>
      </c>
      <c r="C164" s="3">
        <v>45575</v>
      </c>
      <c r="D164" s="2" t="s">
        <v>13</v>
      </c>
      <c r="E164" s="2" t="s">
        <v>14</v>
      </c>
      <c r="F164" s="2">
        <v>2</v>
      </c>
      <c r="G164" s="2">
        <v>26.46</v>
      </c>
    </row>
    <row r="165" spans="1:7" x14ac:dyDescent="0.2">
      <c r="A165" s="2" t="s">
        <v>24</v>
      </c>
      <c r="B165" s="2" t="s">
        <v>25</v>
      </c>
      <c r="C165" s="3">
        <v>45608</v>
      </c>
      <c r="D165" s="2" t="s">
        <v>9</v>
      </c>
      <c r="E165" s="2" t="s">
        <v>48</v>
      </c>
      <c r="F165" s="2">
        <v>2</v>
      </c>
      <c r="G165" s="2">
        <v>37.200000000000003</v>
      </c>
    </row>
    <row r="166" spans="1:7" x14ac:dyDescent="0.2">
      <c r="A166" s="2" t="s">
        <v>40</v>
      </c>
      <c r="B166" s="2" t="s">
        <v>41</v>
      </c>
      <c r="C166" s="3">
        <v>45537</v>
      </c>
      <c r="D166" s="2" t="s">
        <v>26</v>
      </c>
      <c r="E166" s="2" t="s">
        <v>42</v>
      </c>
      <c r="F166" s="2">
        <v>2</v>
      </c>
      <c r="G166" s="2">
        <v>17.04</v>
      </c>
    </row>
    <row r="167" spans="1:7" x14ac:dyDescent="0.2">
      <c r="A167" s="2" t="s">
        <v>53</v>
      </c>
      <c r="B167" s="2" t="s">
        <v>54</v>
      </c>
      <c r="C167" s="3">
        <v>45790</v>
      </c>
      <c r="D167" s="2" t="s">
        <v>26</v>
      </c>
      <c r="E167" s="2" t="s">
        <v>27</v>
      </c>
      <c r="F167" s="2">
        <v>3</v>
      </c>
      <c r="G167" s="2">
        <v>48.18</v>
      </c>
    </row>
    <row r="168" spans="1:7" x14ac:dyDescent="0.2">
      <c r="A168" s="2" t="s">
        <v>53</v>
      </c>
      <c r="B168" s="2" t="s">
        <v>54</v>
      </c>
      <c r="C168" s="3">
        <v>45945</v>
      </c>
      <c r="D168" s="2" t="s">
        <v>17</v>
      </c>
      <c r="E168" s="2" t="s">
        <v>45</v>
      </c>
      <c r="F168" s="2">
        <v>1</v>
      </c>
      <c r="G168" s="2">
        <v>30.3</v>
      </c>
    </row>
    <row r="169" spans="1:7" x14ac:dyDescent="0.2">
      <c r="A169" s="2" t="s">
        <v>53</v>
      </c>
      <c r="B169" s="2" t="s">
        <v>54</v>
      </c>
      <c r="C169" s="3">
        <v>45951</v>
      </c>
      <c r="D169" s="2" t="s">
        <v>9</v>
      </c>
      <c r="E169" s="2" t="s">
        <v>10</v>
      </c>
      <c r="F169" s="2">
        <v>1</v>
      </c>
      <c r="G169" s="2">
        <v>50.1</v>
      </c>
    </row>
    <row r="170" spans="1:7" x14ac:dyDescent="0.2">
      <c r="A170" s="2" t="s">
        <v>53</v>
      </c>
      <c r="B170" s="2" t="s">
        <v>54</v>
      </c>
      <c r="C170" s="3">
        <v>45975</v>
      </c>
      <c r="D170" s="2" t="s">
        <v>13</v>
      </c>
      <c r="E170" s="2" t="s">
        <v>14</v>
      </c>
      <c r="F170" s="2">
        <v>2</v>
      </c>
      <c r="G170" s="2">
        <v>41.36</v>
      </c>
    </row>
    <row r="171" spans="1:7" x14ac:dyDescent="0.2">
      <c r="A171" s="2" t="s">
        <v>53</v>
      </c>
      <c r="B171" s="2" t="s">
        <v>54</v>
      </c>
      <c r="C171" s="3">
        <v>45978</v>
      </c>
      <c r="D171" s="2" t="s">
        <v>21</v>
      </c>
      <c r="E171" s="2" t="s">
        <v>23</v>
      </c>
      <c r="F171" s="2">
        <v>3</v>
      </c>
      <c r="G171" s="2">
        <v>103.53</v>
      </c>
    </row>
    <row r="172" spans="1:7" x14ac:dyDescent="0.2">
      <c r="A172" s="2" t="s">
        <v>53</v>
      </c>
      <c r="B172" s="2" t="s">
        <v>54</v>
      </c>
      <c r="C172" s="3">
        <v>45979</v>
      </c>
      <c r="D172" s="2" t="s">
        <v>13</v>
      </c>
      <c r="E172" s="2" t="s">
        <v>44</v>
      </c>
      <c r="F172" s="2">
        <v>1</v>
      </c>
      <c r="G172" s="2">
        <v>9.89</v>
      </c>
    </row>
    <row r="173" spans="1:7" x14ac:dyDescent="0.2">
      <c r="A173" s="2" t="s">
        <v>53</v>
      </c>
      <c r="B173" s="2" t="s">
        <v>54</v>
      </c>
      <c r="C173" s="3">
        <v>46001</v>
      </c>
      <c r="D173" s="2" t="s">
        <v>9</v>
      </c>
      <c r="E173" s="2" t="s">
        <v>43</v>
      </c>
      <c r="F173" s="2">
        <v>1</v>
      </c>
      <c r="G173" s="2">
        <v>48.29</v>
      </c>
    </row>
    <row r="174" spans="1:7" x14ac:dyDescent="0.2">
      <c r="A174" s="2" t="s">
        <v>53</v>
      </c>
      <c r="B174" s="2" t="s">
        <v>54</v>
      </c>
      <c r="C174" s="3">
        <v>46008</v>
      </c>
      <c r="D174" s="2" t="s">
        <v>26</v>
      </c>
      <c r="E174" s="2" t="s">
        <v>42</v>
      </c>
      <c r="F174" s="2">
        <v>1</v>
      </c>
      <c r="G174" s="2">
        <v>17.64</v>
      </c>
    </row>
    <row r="175" spans="1:7" x14ac:dyDescent="0.2">
      <c r="A175" s="2" t="s">
        <v>65</v>
      </c>
      <c r="B175" s="2" t="s">
        <v>66</v>
      </c>
      <c r="C175" s="3">
        <v>45860</v>
      </c>
      <c r="D175" s="2" t="s">
        <v>17</v>
      </c>
      <c r="E175" s="2" t="s">
        <v>18</v>
      </c>
      <c r="F175" s="2">
        <v>1</v>
      </c>
      <c r="G175" s="2">
        <v>21.78</v>
      </c>
    </row>
    <row r="176" spans="1:7" x14ac:dyDescent="0.2">
      <c r="A176" s="2" t="s">
        <v>65</v>
      </c>
      <c r="B176" s="2" t="s">
        <v>66</v>
      </c>
      <c r="C176" s="3">
        <v>45962</v>
      </c>
      <c r="D176" s="2" t="s">
        <v>17</v>
      </c>
      <c r="E176" s="2" t="s">
        <v>45</v>
      </c>
      <c r="F176" s="2">
        <v>1</v>
      </c>
      <c r="G176" s="2">
        <v>30.26</v>
      </c>
    </row>
    <row r="177" spans="1:7" x14ac:dyDescent="0.2">
      <c r="A177" s="2" t="s">
        <v>11</v>
      </c>
      <c r="B177" s="2" t="s">
        <v>12</v>
      </c>
      <c r="C177" s="3">
        <v>45493</v>
      </c>
      <c r="D177" s="2" t="s">
        <v>13</v>
      </c>
      <c r="E177" s="2" t="s">
        <v>14</v>
      </c>
      <c r="F177" s="2">
        <v>3</v>
      </c>
      <c r="G177" s="2">
        <v>35.880000000000003</v>
      </c>
    </row>
    <row r="178" spans="1:7" x14ac:dyDescent="0.2">
      <c r="A178" s="2" t="s">
        <v>11</v>
      </c>
      <c r="B178" s="2" t="s">
        <v>12</v>
      </c>
      <c r="C178" s="3">
        <v>45558</v>
      </c>
      <c r="D178" s="2" t="s">
        <v>21</v>
      </c>
      <c r="E178" s="2" t="s">
        <v>22</v>
      </c>
      <c r="F178" s="2">
        <v>1</v>
      </c>
      <c r="G178" s="2">
        <v>30.8</v>
      </c>
    </row>
    <row r="179" spans="1:7" x14ac:dyDescent="0.2">
      <c r="A179" s="2" t="s">
        <v>11</v>
      </c>
      <c r="B179" s="2" t="s">
        <v>12</v>
      </c>
      <c r="C179" s="3">
        <v>45565</v>
      </c>
      <c r="D179" s="2" t="s">
        <v>13</v>
      </c>
      <c r="E179" s="2" t="s">
        <v>46</v>
      </c>
      <c r="F179" s="2">
        <v>1</v>
      </c>
      <c r="G179" s="2">
        <v>17.55</v>
      </c>
    </row>
    <row r="180" spans="1:7" x14ac:dyDescent="0.2">
      <c r="A180" s="2" t="s">
        <v>28</v>
      </c>
      <c r="B180" s="2" t="s">
        <v>29</v>
      </c>
      <c r="C180" s="3">
        <v>45521</v>
      </c>
      <c r="D180" s="2" t="s">
        <v>21</v>
      </c>
      <c r="E180" s="2" t="s">
        <v>30</v>
      </c>
      <c r="F180" s="2">
        <v>1</v>
      </c>
      <c r="G180" s="2">
        <v>22.27</v>
      </c>
    </row>
  </sheetData>
  <autoFilter ref="A1:G1" xr:uid="{00000000-0001-0000-0000-000000000000}">
    <sortState xmlns:xlrd2="http://schemas.microsoft.com/office/spreadsheetml/2017/richdata2" ref="A2:G180">
      <sortCondition ref="A1:A18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workbookViewId="0">
      <selection activeCell="C34" sqref="C34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6" customWidth="1"/>
    <col min="4" max="4" width="22" customWidth="1"/>
    <col min="5" max="5" width="16" customWidth="1"/>
    <col min="6" max="6" width="18" customWidth="1"/>
    <col min="7" max="9" width="10" customWidth="1"/>
    <col min="10" max="10" width="12" customWidth="1"/>
    <col min="11" max="11" width="20" customWidth="1"/>
  </cols>
  <sheetData>
    <row r="1" spans="1:11" x14ac:dyDescent="0.2">
      <c r="A1" s="1" t="s">
        <v>0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3" t="s">
        <v>123</v>
      </c>
      <c r="H1" s="13" t="s">
        <v>124</v>
      </c>
      <c r="I1" s="13" t="s">
        <v>125</v>
      </c>
      <c r="J1" s="13" t="s">
        <v>126</v>
      </c>
      <c r="K1" s="1" t="s">
        <v>94</v>
      </c>
    </row>
    <row r="2" spans="1:11" x14ac:dyDescent="0.2">
      <c r="A2" s="2" t="s">
        <v>75</v>
      </c>
      <c r="B2" s="2" t="s">
        <v>76</v>
      </c>
      <c r="C2" s="3">
        <v>46019</v>
      </c>
      <c r="D2" s="2">
        <v>4</v>
      </c>
      <c r="E2" s="2">
        <v>15</v>
      </c>
      <c r="F2" s="4">
        <v>947.39</v>
      </c>
      <c r="G2" s="5" t="s">
        <v>95</v>
      </c>
      <c r="H2" s="5" t="s">
        <v>95</v>
      </c>
      <c r="I2" s="5" t="s">
        <v>95</v>
      </c>
      <c r="J2" s="5" t="s">
        <v>95</v>
      </c>
      <c r="K2" s="5" t="s">
        <v>95</v>
      </c>
    </row>
    <row r="3" spans="1:11" x14ac:dyDescent="0.2">
      <c r="A3" s="2" t="s">
        <v>79</v>
      </c>
      <c r="B3" s="2" t="s">
        <v>80</v>
      </c>
      <c r="C3" s="3">
        <v>45994</v>
      </c>
      <c r="D3" s="2">
        <v>29</v>
      </c>
      <c r="E3" s="2">
        <v>12</v>
      </c>
      <c r="F3" s="4">
        <v>746.3</v>
      </c>
    </row>
    <row r="4" spans="1:11" x14ac:dyDescent="0.2">
      <c r="A4" s="2" t="s">
        <v>59</v>
      </c>
      <c r="B4" s="2" t="s">
        <v>60</v>
      </c>
      <c r="C4" s="3">
        <v>45996</v>
      </c>
      <c r="D4" s="2">
        <v>27</v>
      </c>
      <c r="E4" s="2">
        <v>10</v>
      </c>
      <c r="F4" s="4">
        <v>557.9</v>
      </c>
    </row>
    <row r="5" spans="1:11" x14ac:dyDescent="0.2">
      <c r="A5" s="2" t="s">
        <v>77</v>
      </c>
      <c r="B5" s="2" t="s">
        <v>78</v>
      </c>
      <c r="C5" s="3">
        <v>45998</v>
      </c>
      <c r="D5" s="2">
        <v>25</v>
      </c>
      <c r="E5" s="2">
        <v>8</v>
      </c>
      <c r="F5" s="4">
        <v>294.62</v>
      </c>
    </row>
    <row r="6" spans="1:11" x14ac:dyDescent="0.2">
      <c r="A6" s="2" t="s">
        <v>67</v>
      </c>
      <c r="B6" s="2" t="s">
        <v>68</v>
      </c>
      <c r="C6" s="3">
        <v>45999</v>
      </c>
      <c r="D6" s="2">
        <v>24</v>
      </c>
      <c r="E6" s="2">
        <v>14</v>
      </c>
      <c r="F6" s="4">
        <v>920.77</v>
      </c>
    </row>
    <row r="7" spans="1:11" x14ac:dyDescent="0.2">
      <c r="A7" s="2" t="s">
        <v>31</v>
      </c>
      <c r="B7" s="2" t="s">
        <v>32</v>
      </c>
      <c r="C7" s="3">
        <v>45578</v>
      </c>
      <c r="D7" s="2">
        <v>445</v>
      </c>
      <c r="E7" s="2">
        <v>6</v>
      </c>
      <c r="F7" s="4">
        <v>158.62</v>
      </c>
    </row>
    <row r="8" spans="1:11" x14ac:dyDescent="0.2">
      <c r="A8" s="2" t="s">
        <v>63</v>
      </c>
      <c r="B8" s="2" t="s">
        <v>64</v>
      </c>
      <c r="C8" s="3">
        <v>46008</v>
      </c>
      <c r="D8" s="2">
        <v>15</v>
      </c>
      <c r="E8" s="2">
        <v>9</v>
      </c>
      <c r="F8" s="4">
        <v>372.36</v>
      </c>
    </row>
    <row r="9" spans="1:11" x14ac:dyDescent="0.2">
      <c r="A9" s="2" t="s">
        <v>86</v>
      </c>
      <c r="B9" s="2" t="s">
        <v>87</v>
      </c>
      <c r="C9" s="3">
        <v>45984</v>
      </c>
      <c r="D9" s="2">
        <v>39</v>
      </c>
      <c r="E9" s="2">
        <v>3</v>
      </c>
      <c r="F9" s="4">
        <v>87.71</v>
      </c>
    </row>
    <row r="10" spans="1:11" x14ac:dyDescent="0.2">
      <c r="A10" s="2" t="s">
        <v>34</v>
      </c>
      <c r="B10" s="2" t="s">
        <v>35</v>
      </c>
      <c r="C10" s="3">
        <v>45691</v>
      </c>
      <c r="D10" s="2">
        <v>332</v>
      </c>
      <c r="E10" s="2">
        <v>5</v>
      </c>
      <c r="F10" s="4">
        <v>138.63</v>
      </c>
    </row>
    <row r="11" spans="1:11" x14ac:dyDescent="0.2">
      <c r="A11" s="2" t="s">
        <v>51</v>
      </c>
      <c r="B11" s="2" t="s">
        <v>52</v>
      </c>
      <c r="C11" s="3">
        <v>45978</v>
      </c>
      <c r="D11" s="2">
        <v>45</v>
      </c>
      <c r="E11" s="2">
        <v>7</v>
      </c>
      <c r="F11" s="4">
        <v>398.8</v>
      </c>
    </row>
    <row r="12" spans="1:11" x14ac:dyDescent="0.2">
      <c r="A12" s="2" t="s">
        <v>73</v>
      </c>
      <c r="B12" s="2" t="s">
        <v>74</v>
      </c>
      <c r="C12" s="3">
        <v>46008</v>
      </c>
      <c r="D12" s="2">
        <v>15</v>
      </c>
      <c r="E12" s="2">
        <v>2</v>
      </c>
      <c r="F12" s="4">
        <v>39.14</v>
      </c>
    </row>
    <row r="13" spans="1:11" x14ac:dyDescent="0.2">
      <c r="A13" s="2" t="s">
        <v>7</v>
      </c>
      <c r="B13" s="2" t="s">
        <v>8</v>
      </c>
      <c r="C13" s="3">
        <v>45606</v>
      </c>
      <c r="D13" s="2">
        <v>417</v>
      </c>
      <c r="E13" s="2">
        <v>3</v>
      </c>
      <c r="F13" s="4">
        <v>110.79</v>
      </c>
    </row>
    <row r="14" spans="1:11" x14ac:dyDescent="0.2">
      <c r="A14" s="2" t="s">
        <v>84</v>
      </c>
      <c r="B14" s="2" t="s">
        <v>85</v>
      </c>
      <c r="C14" s="3">
        <v>46010</v>
      </c>
      <c r="D14" s="2">
        <v>13</v>
      </c>
      <c r="E14" s="2">
        <v>11</v>
      </c>
      <c r="F14" s="4">
        <v>834.75</v>
      </c>
    </row>
    <row r="15" spans="1:11" x14ac:dyDescent="0.2">
      <c r="A15" s="2" t="s">
        <v>15</v>
      </c>
      <c r="B15" s="2" t="s">
        <v>16</v>
      </c>
      <c r="C15" s="3">
        <v>45525</v>
      </c>
      <c r="D15" s="2">
        <v>498</v>
      </c>
      <c r="E15" s="2">
        <v>4</v>
      </c>
      <c r="F15" s="4">
        <v>305.57</v>
      </c>
    </row>
    <row r="16" spans="1:11" x14ac:dyDescent="0.2">
      <c r="A16" s="2" t="s">
        <v>69</v>
      </c>
      <c r="B16" s="2" t="s">
        <v>70</v>
      </c>
      <c r="C16" s="3">
        <v>45984</v>
      </c>
      <c r="D16" s="2">
        <v>39</v>
      </c>
      <c r="E16" s="2">
        <v>3</v>
      </c>
      <c r="F16" s="4">
        <v>254.72</v>
      </c>
    </row>
    <row r="17" spans="1:6" x14ac:dyDescent="0.2">
      <c r="A17" s="2" t="s">
        <v>61</v>
      </c>
      <c r="B17" s="2" t="s">
        <v>62</v>
      </c>
      <c r="C17" s="3">
        <v>45994</v>
      </c>
      <c r="D17" s="2">
        <v>29</v>
      </c>
      <c r="E17" s="2">
        <v>8</v>
      </c>
      <c r="F17" s="4">
        <v>314.23</v>
      </c>
    </row>
    <row r="18" spans="1:6" x14ac:dyDescent="0.2">
      <c r="A18" s="2" t="s">
        <v>37</v>
      </c>
      <c r="B18" s="2" t="s">
        <v>38</v>
      </c>
      <c r="C18" s="3">
        <v>45557</v>
      </c>
      <c r="D18" s="2">
        <v>466</v>
      </c>
      <c r="E18" s="2">
        <v>2</v>
      </c>
      <c r="F18" s="4">
        <v>20.11</v>
      </c>
    </row>
    <row r="19" spans="1:6" x14ac:dyDescent="0.2">
      <c r="A19" s="2" t="s">
        <v>71</v>
      </c>
      <c r="B19" s="2" t="s">
        <v>72</v>
      </c>
      <c r="C19" s="3">
        <v>46007</v>
      </c>
      <c r="D19" s="2">
        <v>16</v>
      </c>
      <c r="E19" s="2">
        <v>13</v>
      </c>
      <c r="F19" s="4">
        <v>791.76</v>
      </c>
    </row>
    <row r="20" spans="1:6" x14ac:dyDescent="0.2">
      <c r="A20" s="2" t="s">
        <v>19</v>
      </c>
      <c r="B20" s="2" t="s">
        <v>20</v>
      </c>
      <c r="C20" s="3">
        <v>45655</v>
      </c>
      <c r="D20" s="2">
        <v>368</v>
      </c>
      <c r="E20" s="2">
        <v>5</v>
      </c>
      <c r="F20" s="4">
        <v>215.76</v>
      </c>
    </row>
    <row r="21" spans="1:6" x14ac:dyDescent="0.2">
      <c r="A21" s="2" t="s">
        <v>88</v>
      </c>
      <c r="B21" s="2" t="s">
        <v>89</v>
      </c>
      <c r="C21" s="3">
        <v>46017</v>
      </c>
      <c r="D21" s="2">
        <v>6</v>
      </c>
      <c r="E21" s="2">
        <v>2</v>
      </c>
      <c r="F21" s="4">
        <v>79.59</v>
      </c>
    </row>
    <row r="22" spans="1:6" x14ac:dyDescent="0.2">
      <c r="A22" s="2" t="s">
        <v>55</v>
      </c>
      <c r="B22" s="2" t="s">
        <v>56</v>
      </c>
      <c r="C22" s="3">
        <v>45990</v>
      </c>
      <c r="D22" s="2">
        <v>33</v>
      </c>
      <c r="E22" s="2">
        <v>7</v>
      </c>
      <c r="F22" s="4">
        <v>318.58</v>
      </c>
    </row>
    <row r="23" spans="1:6" x14ac:dyDescent="0.2">
      <c r="A23" s="2" t="s">
        <v>49</v>
      </c>
      <c r="B23" s="2" t="s">
        <v>50</v>
      </c>
      <c r="C23" s="3">
        <v>45702</v>
      </c>
      <c r="D23" s="2">
        <v>321</v>
      </c>
      <c r="E23" s="2">
        <v>2</v>
      </c>
      <c r="F23" s="4">
        <v>44.97</v>
      </c>
    </row>
    <row r="24" spans="1:6" x14ac:dyDescent="0.2">
      <c r="A24" s="2" t="s">
        <v>57</v>
      </c>
      <c r="B24" s="2" t="s">
        <v>58</v>
      </c>
      <c r="C24" s="3">
        <v>45988</v>
      </c>
      <c r="D24" s="2">
        <v>35</v>
      </c>
      <c r="E24" s="2">
        <v>6</v>
      </c>
      <c r="F24" s="4">
        <v>248.71</v>
      </c>
    </row>
    <row r="25" spans="1:6" x14ac:dyDescent="0.2">
      <c r="A25" s="2" t="s">
        <v>82</v>
      </c>
      <c r="B25" s="2" t="s">
        <v>83</v>
      </c>
      <c r="C25" s="3">
        <v>45987</v>
      </c>
      <c r="D25" s="2">
        <v>36</v>
      </c>
      <c r="E25" s="2">
        <v>3</v>
      </c>
      <c r="F25" s="4">
        <v>227.25</v>
      </c>
    </row>
    <row r="26" spans="1:6" x14ac:dyDescent="0.2">
      <c r="A26" s="2" t="s">
        <v>24</v>
      </c>
      <c r="B26" s="2" t="s">
        <v>25</v>
      </c>
      <c r="C26" s="3">
        <v>45608</v>
      </c>
      <c r="D26" s="2">
        <v>415</v>
      </c>
      <c r="E26" s="2">
        <v>4</v>
      </c>
      <c r="F26" s="4">
        <v>96.22</v>
      </c>
    </row>
    <row r="27" spans="1:6" x14ac:dyDescent="0.2">
      <c r="A27" s="2" t="s">
        <v>40</v>
      </c>
      <c r="B27" s="2" t="s">
        <v>41</v>
      </c>
      <c r="C27" s="3">
        <v>45537</v>
      </c>
      <c r="D27" s="2">
        <v>486</v>
      </c>
      <c r="E27" s="2">
        <v>1</v>
      </c>
      <c r="F27" s="4">
        <v>17.04</v>
      </c>
    </row>
    <row r="28" spans="1:6" x14ac:dyDescent="0.2">
      <c r="A28" s="2" t="s">
        <v>53</v>
      </c>
      <c r="B28" s="2" t="s">
        <v>54</v>
      </c>
      <c r="C28" s="3">
        <v>46008</v>
      </c>
      <c r="D28" s="2">
        <v>15</v>
      </c>
      <c r="E28" s="2">
        <v>8</v>
      </c>
      <c r="F28" s="4">
        <v>349.29</v>
      </c>
    </row>
    <row r="29" spans="1:6" x14ac:dyDescent="0.2">
      <c r="A29" s="2" t="s">
        <v>65</v>
      </c>
      <c r="B29" s="2" t="s">
        <v>66</v>
      </c>
      <c r="C29" s="3">
        <v>45962</v>
      </c>
      <c r="D29" s="2">
        <v>61</v>
      </c>
      <c r="E29" s="2">
        <v>2</v>
      </c>
      <c r="F29" s="4">
        <v>52.04</v>
      </c>
    </row>
    <row r="30" spans="1:6" x14ac:dyDescent="0.2">
      <c r="A30" s="2" t="s">
        <v>11</v>
      </c>
      <c r="B30" s="2" t="s">
        <v>12</v>
      </c>
      <c r="C30" s="3">
        <v>45565</v>
      </c>
      <c r="D30" s="2">
        <v>458</v>
      </c>
      <c r="E30" s="2">
        <v>3</v>
      </c>
      <c r="F30" s="4">
        <v>84.23</v>
      </c>
    </row>
    <row r="31" spans="1:6" x14ac:dyDescent="0.2">
      <c r="A31" s="2" t="s">
        <v>28</v>
      </c>
      <c r="B31" s="2" t="s">
        <v>29</v>
      </c>
      <c r="C31" s="3">
        <v>45521</v>
      </c>
      <c r="D31" s="2">
        <v>502</v>
      </c>
      <c r="E31" s="2">
        <v>1</v>
      </c>
      <c r="F31" s="4">
        <v>22.27</v>
      </c>
    </row>
    <row r="34" spans="3:4" x14ac:dyDescent="0.2">
      <c r="C34" s="16">
        <f>DATE(2026,1,1) - _xlfn.MAXIFS(Транзакции!C:C, Транзакции!A:A,A2)</f>
        <v>4</v>
      </c>
      <c r="D34">
        <f>COUNTIF(Транзакции!A:A, A2)</f>
        <v>15</v>
      </c>
    </row>
    <row r="35" spans="3:4" x14ac:dyDescent="0.2">
      <c r="C35" s="16">
        <f>DATE(2026,1,1) - _xlfn.MAXIFS(Транзакции!C:C, Транзакции!A:A,A3)</f>
        <v>29</v>
      </c>
    </row>
    <row r="36" spans="3:4" x14ac:dyDescent="0.2">
      <c r="C36" s="16">
        <f>DATE(2026,1,1) - _xlfn.MAXIFS(Транзакции!C:C, Транзакции!A:A,A4)</f>
        <v>27</v>
      </c>
    </row>
    <row r="37" spans="3:4" x14ac:dyDescent="0.2">
      <c r="C37" s="16">
        <f>DATE(2026,1,1) - _xlfn.MAXIFS(Транзакции!C:C, Транзакции!A:A,A5)</f>
        <v>25</v>
      </c>
    </row>
    <row r="38" spans="3:4" x14ac:dyDescent="0.2">
      <c r="C38" s="16">
        <f>DATE(2026,1,1) - _xlfn.MAXIFS(Транзакции!C:C, Транзакции!A:A,A6)</f>
        <v>24</v>
      </c>
    </row>
    <row r="39" spans="3:4" x14ac:dyDescent="0.2">
      <c r="C39" s="16">
        <f>DATE(2026,1,1) - _xlfn.MAXIFS(Транзакции!C:C, Транзакции!A:A,A7)</f>
        <v>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workbookViewId="0">
      <selection activeCell="H16" sqref="H16:H17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5" width="14" customWidth="1"/>
    <col min="6" max="6" width="18" customWidth="1"/>
    <col min="7" max="7" width="14" customWidth="1"/>
    <col min="8" max="8" width="35" customWidth="1"/>
  </cols>
  <sheetData>
    <row r="1" spans="1:8" ht="30" customHeight="1" x14ac:dyDescent="0.2">
      <c r="A1" s="6" t="s">
        <v>94</v>
      </c>
      <c r="B1" s="6" t="s">
        <v>96</v>
      </c>
      <c r="C1" s="6" t="s">
        <v>97</v>
      </c>
      <c r="D1" s="6" t="s">
        <v>98</v>
      </c>
      <c r="E1" s="6" t="s">
        <v>99</v>
      </c>
      <c r="F1" s="6" t="s">
        <v>100</v>
      </c>
      <c r="G1" s="6" t="s">
        <v>101</v>
      </c>
      <c r="H1" s="6" t="s">
        <v>102</v>
      </c>
    </row>
    <row r="2" spans="1:8" ht="29" x14ac:dyDescent="0.2">
      <c r="A2" s="7" t="s">
        <v>103</v>
      </c>
      <c r="B2" s="8" t="s">
        <v>104</v>
      </c>
      <c r="C2" s="8" t="s">
        <v>105</v>
      </c>
      <c r="D2" s="8"/>
      <c r="E2" s="8"/>
      <c r="F2" s="8"/>
      <c r="G2" s="8"/>
      <c r="H2" s="8" t="s">
        <v>106</v>
      </c>
    </row>
    <row r="3" spans="1:8" x14ac:dyDescent="0.2">
      <c r="A3" s="9" t="s">
        <v>107</v>
      </c>
      <c r="B3" s="8" t="s">
        <v>108</v>
      </c>
      <c r="C3" s="8" t="s">
        <v>109</v>
      </c>
      <c r="D3" s="8"/>
      <c r="E3" s="8"/>
      <c r="F3" s="8"/>
      <c r="G3" s="8"/>
      <c r="H3" s="8" t="s">
        <v>110</v>
      </c>
    </row>
    <row r="4" spans="1:8" x14ac:dyDescent="0.2">
      <c r="A4" s="10" t="s">
        <v>111</v>
      </c>
      <c r="B4" s="8" t="s">
        <v>112</v>
      </c>
      <c r="C4" s="8" t="s">
        <v>113</v>
      </c>
      <c r="D4" s="8"/>
      <c r="E4" s="8"/>
      <c r="F4" s="8"/>
      <c r="G4" s="8"/>
      <c r="H4" s="8" t="s">
        <v>114</v>
      </c>
    </row>
    <row r="5" spans="1:8" ht="29" x14ac:dyDescent="0.2">
      <c r="A5" s="11" t="s">
        <v>115</v>
      </c>
      <c r="B5" s="8" t="s">
        <v>116</v>
      </c>
      <c r="C5" s="8" t="s">
        <v>117</v>
      </c>
      <c r="D5" s="8"/>
      <c r="E5" s="8"/>
      <c r="F5" s="8"/>
      <c r="G5" s="8"/>
      <c r="H5" s="8" t="s">
        <v>118</v>
      </c>
    </row>
    <row r="6" spans="1:8" ht="29" x14ac:dyDescent="0.2">
      <c r="A6" s="12" t="s">
        <v>119</v>
      </c>
      <c r="B6" s="8" t="s">
        <v>120</v>
      </c>
      <c r="C6" s="8" t="s">
        <v>121</v>
      </c>
      <c r="D6" s="8"/>
      <c r="E6" s="8"/>
      <c r="F6" s="8"/>
      <c r="G6" s="8"/>
      <c r="H6" s="8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Транзакции</vt:lpstr>
      <vt:lpstr>RFM Анализ</vt:lpstr>
      <vt:lpstr>Сегментация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Avramov</cp:lastModifiedBy>
  <dcterms:created xsi:type="dcterms:W3CDTF">2026-04-08T08:55:11Z</dcterms:created>
  <dcterms:modified xsi:type="dcterms:W3CDTF">2026-04-08T13:54:05Z</dcterms:modified>
</cp:coreProperties>
</file>