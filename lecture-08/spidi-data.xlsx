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южет" sheetId="1" state="visible" r:id="rId3"/>
    <sheet name="Приходи" sheetId="2" state="visible" r:id="rId4"/>
    <sheet name="Разходи" sheetId="3" state="visible" r:id="rId5"/>
    <sheet name="Оперативни" sheetId="4" state="visible" r:id="rId6"/>
    <sheet name="Източници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<sst xmlns="http://schemas.openxmlformats.org/spreadsheetml/2006/main" count="174" uniqueCount="88">
  <si>
    <t xml:space="preserve">Спиди АД: данни за лекция — сравнение 2023 vs 2024</t>
  </si>
  <si>
    <t xml:space="preserve">Ключова комуникационна посока: приходите и обемът пратки растат, но печалбата отслабва; Q4 показва още по-рязко влошаване.</t>
  </si>
  <si>
    <t xml:space="preserve">Показател</t>
  </si>
  <si>
    <t xml:space="preserve">Мерна единица</t>
  </si>
  <si>
    <t xml:space="preserve">2023</t>
  </si>
  <si>
    <t xml:space="preserve">2024</t>
  </si>
  <si>
    <t xml:space="preserve">Промяна</t>
  </si>
  <si>
    <t xml:space="preserve">Интерпретация</t>
  </si>
  <si>
    <t xml:space="preserve">Общи приходи</t>
  </si>
  <si>
    <t xml:space="preserve">хил. лв.</t>
  </si>
  <si>
    <t xml:space="preserve">Годишен ръст, въпреки по-слабата рентабилност</t>
  </si>
  <si>
    <t xml:space="preserve">Транспортирани пратки</t>
  </si>
  <si>
    <t xml:space="preserve">хил. пратки</t>
  </si>
  <si>
    <t xml:space="preserve">Ръстът на обема следва ръста на приходите</t>
  </si>
  <si>
    <t xml:space="preserve">EBITDA</t>
  </si>
  <si>
    <t xml:space="preserve">Оперативната парична печалба нараства слабо</t>
  </si>
  <si>
    <t xml:space="preserve">EBIT</t>
  </si>
  <si>
    <t xml:space="preserve">Оперативната печалба пада</t>
  </si>
  <si>
    <t xml:space="preserve">Нетна печалба</t>
  </si>
  <si>
    <t xml:space="preserve">Крайният резултат намалява</t>
  </si>
  <si>
    <t xml:space="preserve">Разходи за външни услуги</t>
  </si>
  <si>
    <t xml:space="preserve">Натиск върху разходите</t>
  </si>
  <si>
    <t xml:space="preserve">Разходи за персонал</t>
  </si>
  <si>
    <t xml:space="preserve">Изведени показатели за рентабилност</t>
  </si>
  <si>
    <t xml:space="preserve">Дефиниция</t>
  </si>
  <si>
    <t xml:space="preserve">Разлика (п.п.)</t>
  </si>
  <si>
    <t xml:space="preserve">Защо е важно</t>
  </si>
  <si>
    <t xml:space="preserve">Марж на EBITDA</t>
  </si>
  <si>
    <t xml:space="preserve">EBITDA / Общи приходи</t>
  </si>
  <si>
    <t xml:space="preserve">Ръстът не се превръща ефективно в оперативен марж</t>
  </si>
  <si>
    <t xml:space="preserve">Марж на нетна печалба</t>
  </si>
  <si>
    <t xml:space="preserve">Нетна печалба / Общи приходи</t>
  </si>
  <si>
    <t xml:space="preserve">Свиването на нетния резултат е ключовото послание към бизнеса</t>
  </si>
  <si>
    <t xml:space="preserve">Q4 усилва посланието</t>
  </si>
  <si>
    <t xml:space="preserve">Q4 2023</t>
  </si>
  <si>
    <t xml:space="preserve">Q4 2024</t>
  </si>
  <si>
    <t xml:space="preserve">Приходите продължават да растат</t>
  </si>
  <si>
    <t xml:space="preserve">Обемът продължава да расте</t>
  </si>
  <si>
    <t xml:space="preserve">Оперативната „възглавница“ се свива</t>
  </si>
  <si>
    <t xml:space="preserve">Оперативната печалба отслабва рязко</t>
  </si>
  <si>
    <t xml:space="preserve">Заглавният контраст в Q4</t>
  </si>
  <si>
    <t xml:space="preserve">Оперативни и стратегически факти от доклада</t>
  </si>
  <si>
    <t xml:space="preserve">Употреба в лекцията</t>
  </si>
  <si>
    <t xml:space="preserve">Автоматични пощенски станции (към края на годината)</t>
  </si>
  <si>
    <t xml:space="preserve">брой</t>
  </si>
  <si>
    <t xml:space="preserve">Разширяване на инфраструктурата за доставка извън дома</t>
  </si>
  <si>
    <t xml:space="preserve">Нови станции, монтирани през Q4 2024</t>
  </si>
  <si>
    <t xml:space="preserve">Много бързо изграждане на мрежата в края на годината</t>
  </si>
  <si>
    <t xml:space="preserve">Точки за доставка в България (към края на годината)</t>
  </si>
  <si>
    <t xml:space="preserve">Разширяване на физическата мрежа</t>
  </si>
  <si>
    <t xml:space="preserve">Инвестиции в дълготрайни активи</t>
  </si>
  <si>
    <t xml:space="preserve">млн. лв.</t>
  </si>
  <si>
    <t xml:space="preserve">Растежът изисква капитал и може да натиска краткосрочната възвръщаемост</t>
  </si>
  <si>
    <t xml:space="preserve">Структура на приходите на Спиди АД — официален консолидиран доклад на ръководството, Q4 2024</t>
  </si>
  <si>
    <t xml:space="preserve">Годишна промяна</t>
  </si>
  <si>
    <t xml:space="preserve">Промяна Q4</t>
  </si>
  <si>
    <t xml:space="preserve">Вътрешен пазар</t>
  </si>
  <si>
    <t xml:space="preserve">Дял от приходите — вътрешен</t>
  </si>
  <si>
    <t xml:space="preserve">%</t>
  </si>
  <si>
    <t xml:space="preserve">Международен пазар</t>
  </si>
  <si>
    <t xml:space="preserve">Дял от приходите — международен</t>
  </si>
  <si>
    <t xml:space="preserve">Други приходи</t>
  </si>
  <si>
    <t xml:space="preserve">Дял от приходите — други</t>
  </si>
  <si>
    <t xml:space="preserve">Структура на разходите и печалбата на Спиди АД — официален консолидиран доклад на ръководството, Q4 2024</t>
  </si>
  <si>
    <t xml:space="preserve">Разходи за материали</t>
  </si>
  <si>
    <t xml:space="preserve">Други оперативни разходи</t>
  </si>
  <si>
    <t xml:space="preserve">Амортизация</t>
  </si>
  <si>
    <t xml:space="preserve">Нетна печалба за периода</t>
  </si>
  <si>
    <t xml:space="preserve">Оперативни показатели на Спиди АД — извлечени от доклада за 2024 г.</t>
  </si>
  <si>
    <t xml:space="preserve">Източник</t>
  </si>
  <si>
    <t xml:space="preserve">Приходи от куриерски услуги</t>
  </si>
  <si>
    <t xml:space="preserve">Текст на доклада, раздел 1.1</t>
  </si>
  <si>
    <t xml:space="preserve">млн. пратки</t>
  </si>
  <si>
    <t xml:space="preserve">Текст на доклада и таблица на приходите</t>
  </si>
  <si>
    <t xml:space="preserve">Разходи за подизпълнители</t>
  </si>
  <si>
    <t xml:space="preserve">Текст на доклада, раздел 1.2</t>
  </si>
  <si>
    <t xml:space="preserve">Текст на доклада, раздел 1</t>
  </si>
  <si>
    <t xml:space="preserve">Източници и бележки за употреба</t>
  </si>
  <si>
    <t xml:space="preserve">URL</t>
  </si>
  <si>
    <t xml:space="preserve">Какво е извлечено</t>
  </si>
  <si>
    <t xml:space="preserve">Бележки</t>
  </si>
  <si>
    <t xml:space="preserve">Спиди АД — Консолидиран доклад на ръководството към 31 декември 2024</t>
  </si>
  <si>
    <t xml:space="preserve">https://www.speedy.bg/uploads/media/speedy_files/Management%20report%20Q4%2024%20Speedy%20cons-1740650530.pdf</t>
  </si>
  <si>
    <t xml:space="preserve">Структура на приходите, обем пратки, структура на разходите, рентабилност, избрани оперативни показатели</t>
  </si>
  <si>
    <t xml:space="preserve">Числата са взети от официалния доклад на компанията. Паричните таблици са в хил. лв., освен ако не е посочено друго.</t>
  </si>
  <si>
    <t xml:space="preserve">Препоръчителен сюжет за лекция</t>
  </si>
  <si>
    <t xml:space="preserve">Приходи +12.9% и пратки +11.1%, но нетна печалба −10.5%; Q4 приходи +9.9%, докато Q4 нетна печалба −42.0%.</t>
  </si>
  <si>
    <t xml:space="preserve">Използвайте, за да покажете, че най-важното послание често е противоречие, а не най-голямото число.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</si>
</sst>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#,##0.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5B9BD5"/>
        <bgColor rgb="FF96969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6.73"/>
    <col collapsed="false" customWidth="true" hidden="false" outlineLevel="0" max="4" min="4" style="0" width="47.64"/>
    <col collapsed="false" customWidth="true" hidden="false" outlineLevel="0" max="5" min="5" style="0" width="13.19"/>
    <col collapsed="false" customWidth="true" hidden="false" outlineLevel="0" max="6" min="6" style="0" width="42"/>
    <col collapsed="false" customWidth="true" hidden="false" outlineLevel="0" max="8" min="8" style="0" width="11.84"/>
    <col collapsed="false" customWidth="true" hidden="false" outlineLevel="0" max="10" min="9" style="0" width="5.92"/>
  </cols>
  <sheetData>
    <row r="1" customFormat="false" ht="16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3"/>
      <c r="I4" s="3"/>
      <c r="J4" s="3"/>
    </row>
    <row r="5" customFormat="false" ht="15" hidden="false" customHeight="true" outlineLevel="0" collapsed="false">
      <c r="A5" s="0" t="s">
        <v>8</v>
      </c>
      <c r="B5" s="0" t="s">
        <v>9</v>
      </c>
      <c r="C5" s="4" t="n">
        <v>459654</v>
      </c>
      <c r="D5" s="4" t="n">
        <v>519166</v>
      </c>
      <c r="E5" s="5" t="n">
        <f aca="false">IFERROR((D5-C5)/C5,"")</f>
        <v>0.129471297976304</v>
      </c>
      <c r="F5" s="0" t="s">
        <v>10</v>
      </c>
    </row>
    <row r="6" customFormat="false" ht="15" hidden="false" customHeight="true" outlineLevel="0" collapsed="false">
      <c r="A6" s="0" t="s">
        <v>11</v>
      </c>
      <c r="B6" s="0" t="s">
        <v>12</v>
      </c>
      <c r="C6" s="4" t="n">
        <v>72835</v>
      </c>
      <c r="D6" s="4" t="n">
        <v>80888</v>
      </c>
      <c r="E6" s="5" t="n">
        <f aca="false">IFERROR((D6-C6)/C6,"")</f>
        <v>0.110564975629848</v>
      </c>
      <c r="F6" s="0" t="s">
        <v>13</v>
      </c>
    </row>
    <row r="7" customFormat="false" ht="15" hidden="false" customHeight="true" outlineLevel="0" collapsed="false">
      <c r="A7" s="0" t="s">
        <v>14</v>
      </c>
      <c r="B7" s="0" t="s">
        <v>9</v>
      </c>
      <c r="C7" s="4" t="n">
        <v>83209</v>
      </c>
      <c r="D7" s="4" t="n">
        <v>84645</v>
      </c>
      <c r="E7" s="5" t="n">
        <f aca="false">IFERROR((D7-C7)/C7,"")</f>
        <v>0.0172577485608528</v>
      </c>
      <c r="F7" s="0" t="s">
        <v>15</v>
      </c>
    </row>
    <row r="8" customFormat="false" ht="15" hidden="false" customHeight="true" outlineLevel="0" collapsed="false">
      <c r="A8" s="0" t="s">
        <v>16</v>
      </c>
      <c r="B8" s="0" t="s">
        <v>9</v>
      </c>
      <c r="C8" s="4" t="n">
        <v>47472</v>
      </c>
      <c r="D8" s="4" t="n">
        <v>44083</v>
      </c>
      <c r="E8" s="5" t="n">
        <f aca="false">IFERROR((D8-C8)/C8,"")</f>
        <v>-0.0713894506235255</v>
      </c>
      <c r="F8" s="0" t="s">
        <v>17</v>
      </c>
    </row>
    <row r="9" customFormat="false" ht="15" hidden="false" customHeight="true" outlineLevel="0" collapsed="false">
      <c r="A9" s="0" t="s">
        <v>18</v>
      </c>
      <c r="B9" s="0" t="s">
        <v>9</v>
      </c>
      <c r="C9" s="4" t="n">
        <v>39469</v>
      </c>
      <c r="D9" s="4" t="n">
        <v>35308</v>
      </c>
      <c r="E9" s="5" t="n">
        <f aca="false">IFERROR((D9-C9)/C9,"")</f>
        <v>-0.105424510375231</v>
      </c>
      <c r="F9" s="0" t="s">
        <v>19</v>
      </c>
    </row>
    <row r="10" customFormat="false" ht="15" hidden="false" customHeight="true" outlineLevel="0" collapsed="false">
      <c r="A10" s="0" t="s">
        <v>20</v>
      </c>
      <c r="B10" s="0" t="s">
        <v>9</v>
      </c>
      <c r="C10" s="4" t="n">
        <v>254964</v>
      </c>
      <c r="D10" s="4" t="n">
        <v>290001</v>
      </c>
      <c r="E10" s="5" t="n">
        <f aca="false">IFERROR((D10-C10)/C10,"")</f>
        <v>0.137419400385937</v>
      </c>
      <c r="F10" s="0" t="s">
        <v>21</v>
      </c>
    </row>
    <row r="11" customFormat="false" ht="15" hidden="false" customHeight="true" outlineLevel="0" collapsed="false">
      <c r="A11" s="0" t="s">
        <v>22</v>
      </c>
      <c r="B11" s="0" t="s">
        <v>9</v>
      </c>
      <c r="C11" s="4" t="n">
        <v>98016</v>
      </c>
      <c r="D11" s="4" t="n">
        <v>116765</v>
      </c>
      <c r="E11" s="5" t="n">
        <f aca="false">IFERROR((D11-C11)/C11,"")</f>
        <v>0.191285096310806</v>
      </c>
      <c r="F11" s="0" t="s">
        <v>21</v>
      </c>
    </row>
    <row r="14" customFormat="false" ht="15" hidden="false" customHeight="true" outlineLevel="0" collapsed="false">
      <c r="A14" s="6" t="s">
        <v>23</v>
      </c>
      <c r="B14" s="6"/>
      <c r="C14" s="6"/>
      <c r="D14" s="6"/>
      <c r="E14" s="6"/>
      <c r="F14" s="6"/>
    </row>
    <row r="15" customFormat="false" ht="15" hidden="false" customHeight="true" outlineLevel="0" collapsed="false">
      <c r="A15" s="7" t="s">
        <v>2</v>
      </c>
      <c r="B15" s="7" t="s">
        <v>24</v>
      </c>
      <c r="C15" s="7" t="s">
        <v>4</v>
      </c>
      <c r="D15" s="7" t="s">
        <v>5</v>
      </c>
      <c r="E15" s="7" t="s">
        <v>25</v>
      </c>
      <c r="F15" s="7" t="s">
        <v>26</v>
      </c>
    </row>
    <row r="16" customFormat="false" ht="15" hidden="false" customHeight="true" outlineLevel="0" collapsed="false">
      <c r="A16" s="0" t="s">
        <v>27</v>
      </c>
      <c r="B16" s="0" t="s">
        <v>28</v>
      </c>
      <c r="C16" s="5" t="n">
        <f aca="false">83209/459654</f>
        <v>0.181025292937731</v>
      </c>
      <c r="D16" s="5" t="n">
        <f aca="false">84645/519166</f>
        <v>0.163040337772504</v>
      </c>
      <c r="E16" s="5" t="n">
        <f aca="false">D16-C16</f>
        <v>-0.0179849551652271</v>
      </c>
      <c r="F16" s="0" t="s">
        <v>29</v>
      </c>
    </row>
    <row r="17" customFormat="false" ht="15" hidden="false" customHeight="true" outlineLevel="0" collapsed="false">
      <c r="A17" s="0" t="s">
        <v>30</v>
      </c>
      <c r="B17" s="0" t="s">
        <v>31</v>
      </c>
      <c r="C17" s="5" t="n">
        <f aca="false">39469/459654</f>
        <v>0.0858667606504023</v>
      </c>
      <c r="D17" s="5" t="n">
        <f aca="false">35308/519166</f>
        <v>0.0680090760951218</v>
      </c>
      <c r="E17" s="5" t="n">
        <f aca="false">D17-C17</f>
        <v>-0.0178576845552805</v>
      </c>
      <c r="F17" s="0" t="s">
        <v>32</v>
      </c>
    </row>
    <row r="20" customFormat="false" ht="15" hidden="false" customHeight="true" outlineLevel="0" collapsed="false">
      <c r="A20" s="6" t="s">
        <v>33</v>
      </c>
      <c r="B20" s="6"/>
      <c r="C20" s="6"/>
      <c r="D20" s="6"/>
      <c r="E20" s="6"/>
      <c r="F20" s="6"/>
    </row>
    <row r="21" customFormat="false" ht="15" hidden="false" customHeight="true" outlineLevel="0" collapsed="false">
      <c r="A21" s="7" t="s">
        <v>2</v>
      </c>
      <c r="B21" s="7" t="s">
        <v>3</v>
      </c>
      <c r="C21" s="7" t="s">
        <v>34</v>
      </c>
      <c r="D21" s="7" t="s">
        <v>35</v>
      </c>
      <c r="E21" s="7" t="s">
        <v>6</v>
      </c>
      <c r="F21" s="7" t="s">
        <v>7</v>
      </c>
    </row>
    <row r="22" customFormat="false" ht="15" hidden="false" customHeight="true" outlineLevel="0" collapsed="false">
      <c r="A22" s="0" t="s">
        <v>8</v>
      </c>
      <c r="B22" s="0" t="s">
        <v>9</v>
      </c>
      <c r="C22" s="4" t="n">
        <v>130054</v>
      </c>
      <c r="D22" s="4" t="n">
        <v>142922</v>
      </c>
      <c r="E22" s="5" t="n">
        <f aca="false">IFERROR((D22-C22)/C22,"")</f>
        <v>0.0989435157703723</v>
      </c>
      <c r="F22" s="0" t="s">
        <v>36</v>
      </c>
    </row>
    <row r="23" customFormat="false" ht="15" hidden="false" customHeight="true" outlineLevel="0" collapsed="false">
      <c r="A23" s="0" t="s">
        <v>11</v>
      </c>
      <c r="B23" s="0" t="s">
        <v>12</v>
      </c>
      <c r="C23" s="4" t="n">
        <v>20762</v>
      </c>
      <c r="D23" s="4" t="n">
        <v>22086</v>
      </c>
      <c r="E23" s="5" t="n">
        <f aca="false">IFERROR((D23-C23)/C23,"")</f>
        <v>0.0637703496772951</v>
      </c>
      <c r="F23" s="0" t="s">
        <v>37</v>
      </c>
    </row>
    <row r="24" customFormat="false" ht="15" hidden="false" customHeight="true" outlineLevel="0" collapsed="false">
      <c r="A24" s="0" t="s">
        <v>14</v>
      </c>
      <c r="B24" s="0" t="s">
        <v>9</v>
      </c>
      <c r="C24" s="4" t="n">
        <v>25235</v>
      </c>
      <c r="D24" s="4" t="n">
        <v>20525</v>
      </c>
      <c r="E24" s="5" t="n">
        <f aca="false">IFERROR((D24-C24)/C24,"")</f>
        <v>-0.186645531999207</v>
      </c>
      <c r="F24" s="0" t="s">
        <v>38</v>
      </c>
    </row>
    <row r="25" customFormat="false" ht="15" hidden="false" customHeight="true" outlineLevel="0" collapsed="false">
      <c r="A25" s="0" t="s">
        <v>16</v>
      </c>
      <c r="B25" s="0" t="s">
        <v>9</v>
      </c>
      <c r="C25" s="4" t="n">
        <v>15227</v>
      </c>
      <c r="D25" s="4" t="n">
        <v>9805</v>
      </c>
      <c r="E25" s="5" t="n">
        <f aca="false">IFERROR((D25-C25)/C25,"")</f>
        <v>-0.356078019307809</v>
      </c>
      <c r="F25" s="0" t="s">
        <v>39</v>
      </c>
    </row>
    <row r="26" customFormat="false" ht="15" hidden="false" customHeight="true" outlineLevel="0" collapsed="false">
      <c r="A26" s="0" t="s">
        <v>18</v>
      </c>
      <c r="B26" s="0" t="s">
        <v>9</v>
      </c>
      <c r="C26" s="4" t="n">
        <v>12643</v>
      </c>
      <c r="D26" s="4" t="n">
        <v>7329</v>
      </c>
      <c r="E26" s="5" t="n">
        <f aca="false">IFERROR((D26-C26)/C26,"")</f>
        <v>-0.420311634896781</v>
      </c>
      <c r="F26" s="0" t="s">
        <v>40</v>
      </c>
    </row>
    <row r="29" customFormat="false" ht="15" hidden="false" customHeight="true" outlineLevel="0" collapsed="false">
      <c r="A29" s="6" t="s">
        <v>41</v>
      </c>
      <c r="B29" s="6"/>
      <c r="C29" s="6"/>
      <c r="D29" s="6"/>
      <c r="E29" s="6"/>
      <c r="F29" s="6"/>
      <c r="H29" s="3"/>
      <c r="I29" s="3"/>
      <c r="J29" s="3"/>
    </row>
    <row r="30" customFormat="false" ht="15" hidden="false" customHeight="true" outlineLevel="0" collapsed="false">
      <c r="A30" s="7" t="s">
        <v>2</v>
      </c>
      <c r="B30" s="7" t="s">
        <v>3</v>
      </c>
      <c r="C30" s="7" t="s">
        <v>5</v>
      </c>
      <c r="D30" s="7" t="s">
        <v>42</v>
      </c>
      <c r="I30" s="5"/>
      <c r="J30" s="5"/>
    </row>
    <row r="31" customFormat="false" ht="15" hidden="false" customHeight="true" outlineLevel="0" collapsed="false">
      <c r="A31" s="0" t="s">
        <v>43</v>
      </c>
      <c r="B31" s="0" t="s">
        <v>44</v>
      </c>
      <c r="C31" s="8" t="n">
        <v>430</v>
      </c>
      <c r="D31" s="0" t="s">
        <v>45</v>
      </c>
      <c r="I31" s="5"/>
      <c r="J31" s="5"/>
    </row>
    <row r="32" customFormat="false" ht="15" hidden="false" customHeight="true" outlineLevel="0" collapsed="false">
      <c r="A32" s="0" t="s">
        <v>46</v>
      </c>
      <c r="B32" s="0" t="s">
        <v>44</v>
      </c>
      <c r="C32" s="8" t="n">
        <v>235</v>
      </c>
      <c r="D32" s="0" t="s">
        <v>47</v>
      </c>
    </row>
    <row r="33" customFormat="false" ht="15" hidden="false" customHeight="true" outlineLevel="0" collapsed="false">
      <c r="A33" s="0" t="s">
        <v>48</v>
      </c>
      <c r="B33" s="0" t="s">
        <v>44</v>
      </c>
      <c r="C33" s="8" t="n">
        <v>920</v>
      </c>
      <c r="D33" s="0" t="s">
        <v>49</v>
      </c>
    </row>
    <row r="34" customFormat="false" ht="15" hidden="false" customHeight="true" outlineLevel="0" collapsed="false">
      <c r="A34" s="0" t="s">
        <v>50</v>
      </c>
      <c r="B34" s="0" t="s">
        <v>51</v>
      </c>
      <c r="C34" s="8" t="n">
        <v>61.8</v>
      </c>
      <c r="D34" s="0" t="s">
        <v>52</v>
      </c>
    </row>
  </sheetData>
  <mergeCells count="5">
    <mergeCell ref="A1:G1"/>
    <mergeCell ref="A2:G2"/>
    <mergeCell ref="A14:F14"/>
    <mergeCell ref="A20:F20"/>
    <mergeCell ref="A29:F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6.58"/>
    <col collapsed="false" customWidth="true" hidden="false" outlineLevel="0" max="5" min="5" style="0" width="14.67"/>
    <col collapsed="false" customWidth="true" hidden="false" outlineLevel="0" max="7" min="6" style="0" width="9.42"/>
    <col collapsed="false" customWidth="true" hidden="false" outlineLevel="0" max="8" min="8" style="0" width="11.31"/>
  </cols>
  <sheetData>
    <row r="1" customFormat="false" ht="16.5" hidden="false" customHeight="true" outlineLevel="0" collapsed="false">
      <c r="A1" s="1" t="s">
        <v>53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54</v>
      </c>
      <c r="F3" s="3" t="s">
        <v>34</v>
      </c>
      <c r="G3" s="3" t="s">
        <v>35</v>
      </c>
      <c r="H3" s="3" t="s">
        <v>55</v>
      </c>
    </row>
    <row r="4" customFormat="false" ht="15" hidden="false" customHeight="true" outlineLevel="0" collapsed="false">
      <c r="A4" s="0" t="s">
        <v>56</v>
      </c>
      <c r="B4" s="0" t="s">
        <v>9</v>
      </c>
      <c r="C4" s="4" t="n">
        <v>235829</v>
      </c>
      <c r="D4" s="4" t="n">
        <v>265561</v>
      </c>
      <c r="E4" s="5" t="n">
        <v>0.126</v>
      </c>
      <c r="F4" s="4" t="n">
        <v>68927</v>
      </c>
      <c r="G4" s="4" t="n">
        <v>77765</v>
      </c>
      <c r="H4" s="5" t="n">
        <v>0.128</v>
      </c>
    </row>
    <row r="5" customFormat="false" ht="15" hidden="false" customHeight="true" outlineLevel="0" collapsed="false">
      <c r="A5" s="0" t="s">
        <v>57</v>
      </c>
      <c r="B5" s="0" t="s">
        <v>58</v>
      </c>
      <c r="C5" s="5" t="n">
        <v>0.513</v>
      </c>
      <c r="D5" s="5" t="n">
        <v>0.512</v>
      </c>
      <c r="E5" s="5"/>
      <c r="F5" s="5" t="n">
        <v>0.53</v>
      </c>
      <c r="G5" s="5" t="n">
        <v>0.544</v>
      </c>
      <c r="H5" s="5"/>
    </row>
    <row r="6" customFormat="false" ht="15" hidden="false" customHeight="true" outlineLevel="0" collapsed="false">
      <c r="A6" s="0" t="s">
        <v>59</v>
      </c>
      <c r="B6" s="0" t="s">
        <v>9</v>
      </c>
      <c r="C6" s="4" t="n">
        <v>215141</v>
      </c>
      <c r="D6" s="4" t="n">
        <v>242080</v>
      </c>
      <c r="E6" s="5" t="n">
        <v>0.125</v>
      </c>
      <c r="F6" s="4" t="n">
        <v>57844</v>
      </c>
      <c r="G6" s="4" t="n">
        <v>62063</v>
      </c>
      <c r="H6" s="5" t="n">
        <v>0.073</v>
      </c>
    </row>
    <row r="7" customFormat="false" ht="15" hidden="false" customHeight="true" outlineLevel="0" collapsed="false">
      <c r="A7" s="0" t="s">
        <v>60</v>
      </c>
      <c r="B7" s="0" t="s">
        <v>58</v>
      </c>
      <c r="C7" s="5" t="n">
        <v>0.468</v>
      </c>
      <c r="D7" s="5" t="n">
        <v>0.466</v>
      </c>
      <c r="E7" s="5"/>
      <c r="F7" s="5" t="n">
        <v>0.445</v>
      </c>
      <c r="G7" s="5" t="n">
        <v>0.434</v>
      </c>
      <c r="H7" s="5"/>
    </row>
    <row r="8" customFormat="false" ht="15" hidden="false" customHeight="true" outlineLevel="0" collapsed="false">
      <c r="A8" s="0" t="s">
        <v>61</v>
      </c>
      <c r="B8" s="0" t="s">
        <v>9</v>
      </c>
      <c r="C8" s="4" t="n">
        <v>8684</v>
      </c>
      <c r="D8" s="4" t="n">
        <v>11525</v>
      </c>
      <c r="E8" s="5" t="n">
        <v>0.327</v>
      </c>
      <c r="F8" s="4" t="n">
        <v>3283</v>
      </c>
      <c r="G8" s="4" t="n">
        <v>3094</v>
      </c>
      <c r="H8" s="5" t="n">
        <v>-0.058</v>
      </c>
    </row>
    <row r="9" customFormat="false" ht="15" hidden="false" customHeight="true" outlineLevel="0" collapsed="false">
      <c r="A9" s="0" t="s">
        <v>62</v>
      </c>
      <c r="B9" s="0" t="s">
        <v>58</v>
      </c>
      <c r="C9" s="5" t="n">
        <v>0.019</v>
      </c>
      <c r="D9" s="5" t="n">
        <v>0.022</v>
      </c>
      <c r="E9" s="5"/>
      <c r="F9" s="5" t="n">
        <v>0.025</v>
      </c>
      <c r="G9" s="5" t="n">
        <v>0.022</v>
      </c>
      <c r="H9" s="5"/>
    </row>
    <row r="10" customFormat="false" ht="15" hidden="false" customHeight="true" outlineLevel="0" collapsed="false">
      <c r="A10" s="0" t="s">
        <v>11</v>
      </c>
      <c r="B10" s="0" t="s">
        <v>12</v>
      </c>
      <c r="C10" s="4" t="n">
        <v>72835</v>
      </c>
      <c r="D10" s="4" t="n">
        <v>80888</v>
      </c>
      <c r="E10" s="5" t="n">
        <v>0.111</v>
      </c>
      <c r="F10" s="4" t="n">
        <v>20762</v>
      </c>
      <c r="G10" s="4" t="n">
        <v>22086</v>
      </c>
      <c r="H10" s="5" t="n">
        <v>0.064</v>
      </c>
    </row>
    <row r="11" customFormat="false" ht="15" hidden="false" customHeight="true" outlineLevel="0" collapsed="false">
      <c r="A11" s="0" t="s">
        <v>8</v>
      </c>
      <c r="B11" s="0" t="s">
        <v>9</v>
      </c>
      <c r="C11" s="4" t="n">
        <v>459654</v>
      </c>
      <c r="D11" s="4" t="n">
        <v>519166</v>
      </c>
      <c r="E11" s="5" t="n">
        <v>0.129</v>
      </c>
      <c r="F11" s="4" t="n">
        <v>130054</v>
      </c>
      <c r="G11" s="4" t="n">
        <v>142922</v>
      </c>
      <c r="H11" s="5" t="n">
        <v>0.099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4" min="3" style="0" width="6.58"/>
    <col collapsed="false" customWidth="true" hidden="false" outlineLevel="0" max="5" min="5" style="0" width="14.67"/>
    <col collapsed="false" customWidth="true" hidden="false" outlineLevel="0" max="7" min="6" style="0" width="9.42"/>
    <col collapsed="false" customWidth="true" hidden="false" outlineLevel="0" max="8" min="8" style="0" width="11.31"/>
  </cols>
  <sheetData>
    <row r="1" customFormat="false" ht="16.5" hidden="false" customHeight="true" outlineLevel="0" collapsed="false">
      <c r="A1" s="1" t="s">
        <v>63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54</v>
      </c>
      <c r="F3" s="3" t="s">
        <v>34</v>
      </c>
      <c r="G3" s="3" t="s">
        <v>35</v>
      </c>
      <c r="H3" s="3" t="s">
        <v>55</v>
      </c>
    </row>
    <row r="4" customFormat="false" ht="15" hidden="false" customHeight="true" outlineLevel="0" collapsed="false">
      <c r="A4" s="0" t="s">
        <v>64</v>
      </c>
      <c r="B4" s="0" t="s">
        <v>9</v>
      </c>
      <c r="C4" s="4" t="n">
        <v>19989</v>
      </c>
      <c r="D4" s="4" t="n">
        <v>19033</v>
      </c>
      <c r="E4" s="5" t="n">
        <v>-0.048</v>
      </c>
      <c r="F4" s="4" t="n">
        <v>5877</v>
      </c>
      <c r="G4" s="4" t="n">
        <v>5384</v>
      </c>
      <c r="H4" s="5" t="n">
        <v>-0.084</v>
      </c>
    </row>
    <row r="5" customFormat="false" ht="15" hidden="false" customHeight="true" outlineLevel="0" collapsed="false">
      <c r="A5" s="0" t="s">
        <v>20</v>
      </c>
      <c r="B5" s="0" t="s">
        <v>9</v>
      </c>
      <c r="C5" s="4" t="n">
        <v>254964</v>
      </c>
      <c r="D5" s="4" t="n">
        <v>290001</v>
      </c>
      <c r="E5" s="5" t="n">
        <v>0.137</v>
      </c>
      <c r="F5" s="4" t="n">
        <v>75541</v>
      </c>
      <c r="G5" s="4" t="n">
        <v>81476</v>
      </c>
      <c r="H5" s="5" t="n">
        <v>0.079</v>
      </c>
    </row>
    <row r="6" customFormat="false" ht="15" hidden="false" customHeight="true" outlineLevel="0" collapsed="false">
      <c r="A6" s="0" t="s">
        <v>22</v>
      </c>
      <c r="B6" s="0" t="s">
        <v>9</v>
      </c>
      <c r="C6" s="4" t="n">
        <v>98016</v>
      </c>
      <c r="D6" s="4" t="n">
        <v>116765</v>
      </c>
      <c r="E6" s="5" t="n">
        <v>0.191</v>
      </c>
      <c r="F6" s="4" t="n">
        <v>25236</v>
      </c>
      <c r="G6" s="4" t="n">
        <v>32361</v>
      </c>
      <c r="H6" s="5" t="n">
        <v>0.282</v>
      </c>
    </row>
    <row r="7" customFormat="false" ht="15" hidden="false" customHeight="true" outlineLevel="0" collapsed="false">
      <c r="A7" s="0" t="s">
        <v>65</v>
      </c>
      <c r="B7" s="0" t="s">
        <v>9</v>
      </c>
      <c r="C7" s="4" t="n">
        <v>5753</v>
      </c>
      <c r="D7" s="4" t="n">
        <v>8722</v>
      </c>
      <c r="E7" s="5" t="n">
        <v>0.516</v>
      </c>
      <c r="F7" s="4" t="n">
        <v>442</v>
      </c>
      <c r="G7" s="4" t="n">
        <v>3176</v>
      </c>
      <c r="H7" s="5" t="n">
        <v>6.186</v>
      </c>
    </row>
    <row r="8" customFormat="false" ht="15" hidden="false" customHeight="true" outlineLevel="0" collapsed="false">
      <c r="A8" s="0" t="s">
        <v>66</v>
      </c>
      <c r="B8" s="0" t="s">
        <v>9</v>
      </c>
      <c r="C8" s="4" t="n">
        <v>35737</v>
      </c>
      <c r="D8" s="4" t="n">
        <v>40562</v>
      </c>
      <c r="E8" s="5" t="n">
        <v>0.135</v>
      </c>
      <c r="F8" s="4" t="n">
        <v>10008</v>
      </c>
      <c r="G8" s="4" t="n">
        <v>10720</v>
      </c>
      <c r="H8" s="5" t="n">
        <v>0.071</v>
      </c>
    </row>
    <row r="9" customFormat="false" ht="15" hidden="false" customHeight="true" outlineLevel="0" collapsed="false">
      <c r="A9" s="0" t="s">
        <v>14</v>
      </c>
      <c r="B9" s="0" t="s">
        <v>9</v>
      </c>
      <c r="C9" s="4" t="n">
        <v>83209</v>
      </c>
      <c r="D9" s="4" t="n">
        <v>84645</v>
      </c>
      <c r="E9" s="5" t="n">
        <v>0.017</v>
      </c>
      <c r="F9" s="4" t="n">
        <v>25235</v>
      </c>
      <c r="G9" s="4" t="n">
        <v>20525</v>
      </c>
      <c r="H9" s="5" t="n">
        <v>-0.187</v>
      </c>
    </row>
    <row r="10" customFormat="false" ht="15" hidden="false" customHeight="true" outlineLevel="0" collapsed="false">
      <c r="A10" s="0" t="s">
        <v>16</v>
      </c>
      <c r="B10" s="0" t="s">
        <v>9</v>
      </c>
      <c r="C10" s="4" t="n">
        <v>47472</v>
      </c>
      <c r="D10" s="4" t="n">
        <v>44083</v>
      </c>
      <c r="E10" s="5" t="n">
        <v>-0.071</v>
      </c>
      <c r="F10" s="4" t="n">
        <v>15227</v>
      </c>
      <c r="G10" s="4" t="n">
        <v>9805</v>
      </c>
      <c r="H10" s="5" t="n">
        <v>-0.356</v>
      </c>
    </row>
    <row r="11" customFormat="false" ht="15" hidden="false" customHeight="true" outlineLevel="0" collapsed="false">
      <c r="A11" s="0" t="s">
        <v>67</v>
      </c>
      <c r="B11" s="0" t="s">
        <v>9</v>
      </c>
      <c r="C11" s="4" t="n">
        <v>39469</v>
      </c>
      <c r="D11" s="4" t="n">
        <v>35308</v>
      </c>
      <c r="E11" s="5" t="n">
        <v>-0.105</v>
      </c>
      <c r="F11" s="4" t="n">
        <v>12643</v>
      </c>
      <c r="G11" s="4" t="n">
        <v>7329</v>
      </c>
      <c r="H11" s="5" t="n">
        <v>-0.42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.13"/>
    <col collapsed="false" customWidth="true" hidden="false" outlineLevel="0" max="4" min="3" style="0" width="6.58"/>
    <col collapsed="false" customWidth="true" hidden="false" outlineLevel="0" max="5" min="5" style="0" width="14.67"/>
    <col collapsed="false" customWidth="true" hidden="false" outlineLevel="0" max="6" min="6" style="0" width="28"/>
  </cols>
  <sheetData>
    <row r="1" customFormat="false" ht="16.5" hidden="false" customHeight="true" outlineLevel="0" collapsed="false">
      <c r="A1" s="1" t="s">
        <v>68</v>
      </c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3" customFormat="false" ht="1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54</v>
      </c>
      <c r="F3" s="3" t="s">
        <v>69</v>
      </c>
    </row>
    <row r="4" customFormat="false" ht="15" hidden="false" customHeight="true" outlineLevel="0" collapsed="false">
      <c r="A4" s="0" t="s">
        <v>70</v>
      </c>
      <c r="B4" s="0" t="s">
        <v>51</v>
      </c>
      <c r="C4" s="8" t="n">
        <v>451</v>
      </c>
      <c r="D4" s="8" t="n">
        <v>507.6</v>
      </c>
      <c r="E4" s="5" t="n">
        <v>0.126</v>
      </c>
      <c r="F4" s="0" t="s">
        <v>71</v>
      </c>
    </row>
    <row r="5" customFormat="false" ht="15" hidden="false" customHeight="true" outlineLevel="0" collapsed="false">
      <c r="A5" s="0" t="s">
        <v>11</v>
      </c>
      <c r="B5" s="0" t="s">
        <v>72</v>
      </c>
      <c r="C5" s="8" t="n">
        <v>72.835</v>
      </c>
      <c r="D5" s="8" t="n">
        <v>80.888</v>
      </c>
      <c r="E5" s="5" t="n">
        <v>0.111</v>
      </c>
      <c r="F5" s="0" t="s">
        <v>73</v>
      </c>
    </row>
    <row r="6" customFormat="false" ht="15" hidden="false" customHeight="true" outlineLevel="0" collapsed="false">
      <c r="A6" s="0" t="s">
        <v>74</v>
      </c>
      <c r="B6" s="0" t="s">
        <v>51</v>
      </c>
      <c r="C6" s="8" t="n">
        <v>219.4</v>
      </c>
      <c r="D6" s="8" t="n">
        <v>251.6</v>
      </c>
      <c r="E6" s="5" t="n">
        <v>0.146</v>
      </c>
      <c r="F6" s="0" t="s">
        <v>75</v>
      </c>
    </row>
    <row r="7" customFormat="false" ht="15" hidden="false" customHeight="true" outlineLevel="0" collapsed="false">
      <c r="A7" s="0" t="s">
        <v>22</v>
      </c>
      <c r="B7" s="0" t="s">
        <v>51</v>
      </c>
      <c r="C7" s="8" t="n">
        <v>98</v>
      </c>
      <c r="D7" s="8" t="n">
        <v>116.8</v>
      </c>
      <c r="E7" s="5" t="n">
        <v>0.191</v>
      </c>
      <c r="F7" s="0" t="s">
        <v>75</v>
      </c>
    </row>
    <row r="8" customFormat="false" ht="15" hidden="false" customHeight="true" outlineLevel="0" collapsed="false">
      <c r="A8" s="0" t="s">
        <v>50</v>
      </c>
      <c r="B8" s="0" t="s">
        <v>51</v>
      </c>
      <c r="C8" s="8"/>
      <c r="D8" s="8" t="n">
        <v>61.8</v>
      </c>
      <c r="E8" s="5"/>
      <c r="F8" s="0" t="s">
        <v>76</v>
      </c>
    </row>
    <row r="9" customFormat="false" ht="15" hidden="false" customHeight="true" outlineLevel="0" collapsed="false">
      <c r="A9" s="0" t="s">
        <v>43</v>
      </c>
      <c r="B9" s="0" t="s">
        <v>44</v>
      </c>
      <c r="C9" s="8"/>
      <c r="D9" s="8" t="n">
        <v>430</v>
      </c>
      <c r="E9" s="5"/>
      <c r="F9" s="0" t="s">
        <v>76</v>
      </c>
    </row>
    <row r="10" customFormat="false" ht="15" hidden="false" customHeight="true" outlineLevel="0" collapsed="false">
      <c r="A10" s="0" t="s">
        <v>46</v>
      </c>
      <c r="B10" s="0" t="s">
        <v>44</v>
      </c>
      <c r="C10" s="8"/>
      <c r="D10" s="8" t="n">
        <v>235</v>
      </c>
      <c r="E10" s="5"/>
      <c r="F10" s="0" t="s">
        <v>76</v>
      </c>
    </row>
    <row r="11" customFormat="false" ht="15" hidden="false" customHeight="true" outlineLevel="0" collapsed="false">
      <c r="A11" s="0" t="s">
        <v>48</v>
      </c>
      <c r="B11" s="0" t="s">
        <v>44</v>
      </c>
      <c r="C11" s="8"/>
      <c r="D11" s="8" t="n">
        <v>920</v>
      </c>
      <c r="E11" s="5"/>
      <c r="F11" s="0" t="s">
        <v>76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.22"/>
    <col collapsed="false" customWidth="true" hidden="false" outlineLevel="0" max="2" min="2" style="0" width="60"/>
    <col collapsed="false" customWidth="true" hidden="false" outlineLevel="0" max="3" min="3" style="0" width="50"/>
    <col collapsed="false" customWidth="true" hidden="false" outlineLevel="0" max="4" min="4" style="0" width="55"/>
  </cols>
  <sheetData>
    <row r="1" customFormat="false" ht="16.5" hidden="false" customHeight="true" outlineLevel="0" collapsed="false">
      <c r="A1" s="9" t="s">
        <v>77</v>
      </c>
      <c r="B1" s="9"/>
      <c r="C1" s="9"/>
      <c r="D1" s="9"/>
    </row>
    <row r="3" customFormat="false" ht="15" hidden="false" customHeight="true" outlineLevel="0" collapsed="false">
      <c r="A3" s="3" t="s">
        <v>69</v>
      </c>
      <c r="B3" s="3" t="s">
        <v>78</v>
      </c>
      <c r="C3" s="3" t="s">
        <v>79</v>
      </c>
      <c r="D3" s="3" t="s">
        <v>80</v>
      </c>
    </row>
    <row r="4" customFormat="false" ht="15" hidden="false" customHeight="true" outlineLevel="0" collapsed="false">
      <c r="A4" s="0" t="s">
        <v>81</v>
      </c>
      <c r="B4" s="0" t="s">
        <v>82</v>
      </c>
      <c r="C4" s="0" t="s">
        <v>83</v>
      </c>
      <c r="D4" s="0" t="s">
        <v>84</v>
      </c>
    </row>
    <row r="6" customFormat="false" ht="15" hidden="false" customHeight="true" outlineLevel="0" collapsed="false">
      <c r="A6" s="0" t="s">
        <v>85</v>
      </c>
      <c r="C6" s="0" t="s">
        <v>86</v>
      </c>
      <c r="D6" s="0" t="s">
        <v>87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2026-05-12T16:54:25Z</dcterms:created>
  <dc:creator>openpyxl</dc:creator>
  <dc:description/>
  <dc:language>en-US</dc:language>
  <cp:lastModifiedBy/>
  <dcterms:modified xsi:type="dcterms:W3CDTF">2026-05-12T16:55:05Z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