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50e082353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line" sheetId="1" r:id="R2d33024a64ea4239"/>
    <x:sheet xmlns:r="http://schemas.openxmlformats.org/officeDocument/2006/relationships" name="Revenue_structure" sheetId="2" r:id="R5a00b774b26a4494"/>
    <x:sheet xmlns:r="http://schemas.openxmlformats.org/officeDocument/2006/relationships" name="Cost_structure" sheetId="3" r:id="R288fc2195d214fa7"/>
    <x:sheet xmlns:r="http://schemas.openxmlformats.org/officeDocument/2006/relationships" name="Operational_indicators" sheetId="4" r:id="Rc4a64cf086fc4662"/>
    <x:sheet xmlns:r="http://schemas.openxmlformats.org/officeDocument/2006/relationships" name="Sources" sheetId="5" r:id="R0715ae59985e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985d989d34d4b" /><Relationship Type="http://schemas.openxmlformats.org/officeDocument/2006/relationships/theme" Target="/xl/theme/theme1.xml" Id="Rdcc73e53693746d9" /><Relationship Type="http://schemas.openxmlformats.org/officeDocument/2006/relationships/sharedStrings" Target="/xl/sharedStrings.xml" Id="Rbd1fc3aa81bf4df0" /><Relationship Type="http://schemas.openxmlformats.org/officeDocument/2006/relationships/worksheet" Target="/xl/worksheets/sheet1.xml" Id="R2d33024a64ea4239" /><Relationship Type="http://schemas.openxmlformats.org/officeDocument/2006/relationships/worksheet" Target="/xl/worksheets/sheet2.xml" Id="R5a00b774b26a4494" /><Relationship Type="http://schemas.openxmlformats.org/officeDocument/2006/relationships/worksheet" Target="/xl/worksheets/sheet3.xml" Id="R288fc2195d214fa7" /><Relationship Type="http://schemas.openxmlformats.org/officeDocument/2006/relationships/worksheet" Target="/xl/worksheets/sheet4.xml" Id="Rc4a64cf086fc4662" /><Relationship Type="http://schemas.openxmlformats.org/officeDocument/2006/relationships/worksheet" Target="/xl/worksheets/sheet5.xml" Id="R0715ae59985e4aab" /></Relationships>
</file>

<file path=xl/tables/table1.xml><?xml version="1.0" encoding="utf-8"?>
<x:table xmlns:x="http://schemas.openxmlformats.org/spreadsheetml/2006/main" id="1" name="RevenueStructureTable" displayName="RevenueStructureTable" ref="A3:H11" headerRowCount="1">
  <x:tableColumns count="8">
    <x:tableColumn id="1" name="Metric"/>
    <x:tableColumn id="2" name="Unit"/>
    <x:tableColumn id="3" name="2023"/>
    <x:tableColumn id="4" name="2024"/>
    <x:tableColumn id="5" name="Annual change"/>
    <x:tableColumn id="6" name="Q4 2023"/>
    <x:tableColumn id="7" name="Q4 2024"/>
    <x:tableColumn id="8" name="Q4 change"/>
  </x:tableColumns>
  <x:tableStyleInfo name="TableStyleMedium2" showRowStripes="1"/>
</x:table>
</file>

<file path=xl/tables/table2.xml><?xml version="1.0" encoding="utf-8"?>
<x:table xmlns:x="http://schemas.openxmlformats.org/spreadsheetml/2006/main" id="2" name="CostStructureTable" displayName="CostStructureTable" ref="A3:H11" headerRowCount="1">
  <x:tableColumns count="8">
    <x:tableColumn id="1" name="Metric"/>
    <x:tableColumn id="2" name="Unit"/>
    <x:tableColumn id="3" name="2023"/>
    <x:tableColumn id="4" name="2024"/>
    <x:tableColumn id="5" name="Annual change"/>
    <x:tableColumn id="6" name="Q4 2023"/>
    <x:tableColumn id="7" name="Q4 2024"/>
    <x:tableColumn id="8" name="Q4 change"/>
  </x:tableColumns>
  <x:tableStyleInfo name="TableStyleMedium2" showRowStripes="1"/>
</x:table>
</file>

<file path=xl/tables/table3.xml><?xml version="1.0" encoding="utf-8"?>
<x:table xmlns:x="http://schemas.openxmlformats.org/spreadsheetml/2006/main" id="3" name="OperationalIndicatorsTable" displayName="OperationalIndicatorsTable" ref="A3:F11" headerRowCount="1">
  <x:tableColumns count="6">
    <x:tableColumn id="1" name="Metric"/>
    <x:tableColumn id="2" name="Unit"/>
    <x:tableColumn id="3" name="2023"/>
    <x:tableColumn id="4" name="2024"/>
    <x:tableColumn id="5" name="Annual change"/>
    <x:tableColumn id="6" name="Source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9359c35857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5ca158bd0c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cfebb40e864d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.730000019073486" hidden="0" customWidth="1"/>
    <x:col min="4" max="4" width="47.63999938964844" hidden="0" customWidth="1"/>
    <x:col min="5" max="5" width="13.1899995803833" hidden="0" customWidth="1"/>
    <x:col min="6" max="6" width="42" hidden="0" customWidth="1"/>
    <x:col min="8" max="8" width="11.84000015258789" hidden="0" customWidth="1"/>
    <x:col min="9" max="9" width="5.920000076293945" hidden="0" customWidth="1"/>
    <x:col min="10" max="10" width="5.920000076293945" hidden="0" customWidth="1"/>
  </x:cols>
  <x:sheetData>
    <x:row r="1" ht="16.799999237060547" hidden="0" customHeight="1">
      <x:c r="A1" s="38" t="str">
        <x:v>Speedy AD: lecture-ready storyline dataset (2023 vs 2024)</x:v>
      </x:c>
      <x:c r="B1" s="38"/>
      <x:c r="C1" s="38"/>
      <x:c r="D1" s="38"/>
      <x:c r="E1" s="38"/>
      <x:c r="F1" s="38"/>
      <x:c r="G1" s="38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5" hidden="0" customHeight="1">
      <x:c r="A2" s="10" t="str">
        <x:v>Core communication hook: revenue and shipment volumes grew, but profitability weakened; Q4 shows an even sharper deterioration.</x:v>
      </x:c>
      <x:c r="B2" s="10"/>
      <x:c r="C2" s="10"/>
      <x:c r="D2" s="10"/>
      <x:c r="E2" s="10"/>
      <x:c r="F2" s="10"/>
      <x:c r="G2" s="10"/>
    </x:row>
    <x:row r="3"/>
    <x:row r="4" ht="15" hidden="0" customHeight="1">
      <x:c r="A4" s="16" t="str">
        <x:v>Metric</x:v>
      </x:c>
      <x:c r="B4" s="16" t="str">
        <x:v>Unit</x:v>
      </x:c>
      <x:c r="C4" s="16" t="str">
        <x:v>2023</x:v>
      </x:c>
      <x:c r="D4" s="16" t="str">
        <x:v>2024</x:v>
      </x:c>
      <x:c r="E4" s="16" t="str">
        <x:v>Change</x:v>
      </x:c>
      <x:c r="F4" s="16" t="str">
        <x:v>Interpretive cue</x:v>
      </x:c>
      <x:c r="H4" s="16"/>
      <x:c r="I4" s="16"/>
      <x:c r="J4" s="16"/>
    </x:row>
    <x:row r="5" ht="15" hidden="0" customHeight="1">
      <x:c r="A5" t="str">
        <x:v>Total revenue</x:v>
      </x:c>
      <x:c r="B5" t="str">
        <x:v>BGN thousand</x:v>
      </x:c>
      <x:c r="C5" s="40" t="n">
        <x:v>459654</x:v>
      </x:c>
      <x:c r="D5" s="40" t="n">
        <x:v>519166</x:v>
      </x:c>
      <x:c r="E5" s="42" t="n">
        <x:f>IFERROR((D5-C5)/C5,"")</x:f>
        <x:v>0.1294712979763039</x:v>
      </x:c>
      <x:c r="F5" t="str">
        <x:v>Annual growth despite weaker profitability</x:v>
      </x:c>
      <x:c r="H5"/>
      <x:c r="I5"/>
      <x:c r="J5"/>
    </x:row>
    <x:row r="6" ht="15" hidden="0" customHeight="1">
      <x:c r="A6" t="str">
        <x:v>Transported shipments</x:v>
      </x:c>
      <x:c r="B6" t="str">
        <x:v>thousand shipments</x:v>
      </x:c>
      <x:c r="C6" s="40" t="n">
        <x:v>72835</x:v>
      </x:c>
      <x:c r="D6" s="40" t="n">
        <x:v>80888</x:v>
      </x:c>
      <x:c r="E6" s="42" t="n">
        <x:f>IFERROR((D6-C6)/C6,"")</x:f>
        <x:v>0.11056497562984828</x:v>
      </x:c>
      <x:c r="F6" t="str">
        <x:v>Volume growth broadly tracks revenue growth</x:v>
      </x:c>
      <x:c r="H6"/>
      <x:c r="I6"/>
      <x:c r="J6"/>
    </x:row>
    <x:row r="7" ht="15" hidden="0" customHeight="1">
      <x:c r="A7" t="str">
        <x:v>EBITDA</x:v>
      </x:c>
      <x:c r="B7" t="str">
        <x:v>BGN thousand</x:v>
      </x:c>
      <x:c r="C7" s="40" t="n">
        <x:v>83209</x:v>
      </x:c>
      <x:c r="D7" s="40" t="n">
        <x:v>84645</x:v>
      </x:c>
      <x:c r="E7" s="42" t="n">
        <x:f>IFERROR((D7-C7)/C7,"")</x:f>
        <x:v>0.01725774856085279</x:v>
      </x:c>
      <x:c r="F7" t="str">
        <x:v>Operating cash proxy grows only slightly</x:v>
      </x:c>
      <x:c r="H7"/>
      <x:c r="I7"/>
      <x:c r="J7"/>
    </x:row>
    <x:row r="8" ht="15" hidden="0" customHeight="1">
      <x:c r="A8" t="str">
        <x:v>EBIT</x:v>
      </x:c>
      <x:c r="B8" t="str">
        <x:v>BGN thousand</x:v>
      </x:c>
      <x:c r="C8" s="40" t="n">
        <x:v>47472</x:v>
      </x:c>
      <x:c r="D8" s="40" t="n">
        <x:v>44083</x:v>
      </x:c>
      <x:c r="E8" s="42" t="n">
        <x:f>IFERROR((D8-C8)/C8,"")</x:f>
        <x:v>-0.07138945062352545</x:v>
      </x:c>
      <x:c r="F8" t="str">
        <x:v>Operating profit falls</x:v>
      </x:c>
      <x:c r="H8"/>
      <x:c r="I8"/>
      <x:c r="J8"/>
    </x:row>
    <x:row r="9" ht="15" hidden="0" customHeight="1">
      <x:c r="A9" t="str">
        <x:v>Net profit</x:v>
      </x:c>
      <x:c r="B9" t="str">
        <x:v>BGN thousand</x:v>
      </x:c>
      <x:c r="C9" s="40" t="n">
        <x:v>39469</x:v>
      </x:c>
      <x:c r="D9" s="40" t="n">
        <x:v>35308</x:v>
      </x:c>
      <x:c r="E9" s="42" t="n">
        <x:f>IFERROR((D9-C9)/C9,"")</x:f>
        <x:v>-0.10542451037523119</x:v>
      </x:c>
      <x:c r="F9" t="str">
        <x:v>Bottom line declines</x:v>
      </x:c>
    </x:row>
    <x:row r="10" ht="15" hidden="0" customHeight="1">
      <x:c r="A10" t="str">
        <x:v>External services expense</x:v>
      </x:c>
      <x:c r="B10" t="str">
        <x:v>BGN thousand</x:v>
      </x:c>
      <x:c r="C10" s="40" t="n">
        <x:v>254964</x:v>
      </x:c>
      <x:c r="D10" s="40" t="n">
        <x:v>290001</x:v>
      </x:c>
      <x:c r="E10" s="42" t="n">
        <x:f>IFERROR((D10-C10)/C10,"")</x:f>
        <x:v>0.13741940038593684</x:v>
      </x:c>
      <x:c r="F10" t="str">
        <x:v>Cost pressure</x:v>
      </x:c>
    </x:row>
    <x:row r="11" ht="15" hidden="0" customHeight="1">
      <x:c r="A11" t="str">
        <x:v>Personnel expense</x:v>
      </x:c>
      <x:c r="B11" t="str">
        <x:v>BGN thousand</x:v>
      </x:c>
      <x:c r="C11" s="40" t="n">
        <x:v>98016</x:v>
      </x:c>
      <x:c r="D11" s="40" t="n">
        <x:v>116765</x:v>
      </x:c>
      <x:c r="E11" s="42" t="n">
        <x:f>IFERROR((D11-C11)/C11,"")</x:f>
        <x:v>0.1912850963108064</x:v>
      </x:c>
      <x:c r="F11" t="str">
        <x:v>Cost pressure</x:v>
      </x:c>
    </x:row>
    <x:row r="12"/>
    <x:row r="13"/>
    <x:row r="14" ht="15" hidden="0" customHeight="1">
      <x:c r="A14" s="24" t="str">
        <x:v>Derived profitability ratios</x:v>
      </x:c>
      <x:c r="B14" s="24"/>
      <x:c r="C14" s="24"/>
      <x:c r="D14" s="24"/>
      <x:c r="E14" s="24"/>
      <x:c r="F14" s="24"/>
    </x:row>
    <x:row r="15" ht="15" hidden="0" customHeight="1">
      <x:c r="A15" s="32" t="str">
        <x:v>Metric</x:v>
      </x:c>
      <x:c r="B15" s="32" t="str">
        <x:v>Definition</x:v>
      </x:c>
      <x:c r="C15" s="32" t="str">
        <x:v>2023</x:v>
      </x:c>
      <x:c r="D15" s="32" t="str">
        <x:v>2024</x:v>
      </x:c>
      <x:c r="E15" s="32" t="str">
        <x:v>Difference (p.p.)</x:v>
      </x:c>
      <x:c r="F15" s="32" t="str">
        <x:v>Why it matters</x:v>
      </x:c>
    </x:row>
    <x:row r="16" ht="15" hidden="0" customHeight="1">
      <x:c r="A16" t="str">
        <x:v>EBITDA margin</x:v>
      </x:c>
      <x:c r="B16" t="str">
        <x:v>EBITDA / Total revenue</x:v>
      </x:c>
      <x:c r="C16" s="42" t="n">
        <x:f>83209/459654</x:f>
        <x:v>0.18102529293773142</x:v>
      </x:c>
      <x:c r="D16" s="42" t="n">
        <x:f>84645/519166</x:f>
        <x:v>0.16304033777250437</x:v>
      </x:c>
      <x:c r="E16" s="42" t="n">
        <x:f>D16-C16</x:f>
        <x:v>-0.01798495516522705</x:v>
      </x:c>
      <x:c r="F16" t="str">
        <x:v>Growth translated poorly into operating margin</x:v>
      </x:c>
    </x:row>
    <x:row r="17" ht="15" hidden="0" customHeight="1">
      <x:c r="A17" t="str">
        <x:v>Net profit margin</x:v>
      </x:c>
      <x:c r="B17" t="str">
        <x:v>Net profit / Total revenue</x:v>
      </x:c>
      <x:c r="C17" s="42" t="n">
        <x:f>39469/459654</x:f>
        <x:v>0.08586676065040226</x:v>
      </x:c>
      <x:c r="D17" s="42" t="n">
        <x:f>35308/519166</x:f>
        <x:v>0.06800907609512179</x:v>
      </x:c>
      <x:c r="E17" s="42" t="n">
        <x:f>D17-C17</x:f>
        <x:v>-0.017857684555280473</x:v>
      </x:c>
      <x:c r="F17" t="str">
        <x:v>The bottom-line compression is the key business message</x:v>
      </x:c>
    </x:row>
    <x:row r="18"/>
    <x:row r="19"/>
    <x:row r="20" ht="15" hidden="0" customHeight="1">
      <x:c r="A20" s="24" t="str">
        <x:v>Q4 magnifies the message</x:v>
      </x:c>
      <x:c r="B20" s="24"/>
      <x:c r="C20" s="24"/>
      <x:c r="D20" s="24"/>
      <x:c r="E20" s="24"/>
      <x:c r="F20" s="24"/>
    </x:row>
    <x:row r="21" ht="15" hidden="0" customHeight="1">
      <x:c r="A21" s="32" t="str">
        <x:v>Metric</x:v>
      </x:c>
      <x:c r="B21" s="32" t="str">
        <x:v>Unit</x:v>
      </x:c>
      <x:c r="C21" s="32" t="str">
        <x:v>Q4 2023</x:v>
      </x:c>
      <x:c r="D21" s="32" t="str">
        <x:v>Q4 2024</x:v>
      </x:c>
      <x:c r="E21" s="32" t="str">
        <x:v>Change</x:v>
      </x:c>
      <x:c r="F21" s="32" t="str">
        <x:v>Interpretive cue</x:v>
      </x:c>
    </x:row>
    <x:row r="22" ht="15" hidden="0" customHeight="1">
      <x:c r="A22" t="str">
        <x:v>Total revenue</x:v>
      </x:c>
      <x:c r="B22" t="str">
        <x:v>BGN thousand</x:v>
      </x:c>
      <x:c r="C22" s="40" t="n">
        <x:v>130054</x:v>
      </x:c>
      <x:c r="D22" s="40" t="n">
        <x:v>142922</x:v>
      </x:c>
      <x:c r="E22" s="42" t="n">
        <x:f>IFERROR((D22-C22)/C22,"")</x:f>
        <x:v>0.0989435157703723</x:v>
      </x:c>
      <x:c r="F22" t="str">
        <x:v>Revenue still grows</x:v>
      </x:c>
    </x:row>
    <x:row r="23" ht="15" hidden="0" customHeight="1">
      <x:c r="A23" t="str">
        <x:v>Transported shipments</x:v>
      </x:c>
      <x:c r="B23" t="str">
        <x:v>thousand shipments</x:v>
      </x:c>
      <x:c r="C23" s="40" t="n">
        <x:v>20762</x:v>
      </x:c>
      <x:c r="D23" s="40" t="n">
        <x:v>22086</x:v>
      </x:c>
      <x:c r="E23" s="42" t="n">
        <x:f>IFERROR((D23-C23)/C23,"")</x:f>
        <x:v>0.06377034967729506</x:v>
      </x:c>
      <x:c r="F23" t="str">
        <x:v>Volume still grows</x:v>
      </x:c>
    </x:row>
    <x:row r="24" ht="15" hidden="0" customHeight="1">
      <x:c r="A24" t="str">
        <x:v>EBITDA</x:v>
      </x:c>
      <x:c r="B24" t="str">
        <x:v>BGN thousand</x:v>
      </x:c>
      <x:c r="C24" s="40" t="n">
        <x:v>25235</x:v>
      </x:c>
      <x:c r="D24" s="40" t="n">
        <x:v>20525</x:v>
      </x:c>
      <x:c r="E24" s="42" t="n">
        <x:f>IFERROR((D24-C24)/C24,"")</x:f>
        <x:v>-0.18664553199920744</x:v>
      </x:c>
      <x:c r="F24" t="str">
        <x:v>Operating cushion shrinks</x:v>
      </x:c>
    </x:row>
    <x:row r="25" ht="15" hidden="0" customHeight="1">
      <x:c r="A25" t="str">
        <x:v>EBIT</x:v>
      </x:c>
      <x:c r="B25" t="str">
        <x:v>BGN thousand</x:v>
      </x:c>
      <x:c r="C25" s="40" t="n">
        <x:v>15227</x:v>
      </x:c>
      <x:c r="D25" s="40" t="n">
        <x:v>9805</x:v>
      </x:c>
      <x:c r="E25" s="42" t="n">
        <x:f>IFERROR((D25-C25)/C25,"")</x:f>
        <x:v>-0.3560780193078085</x:v>
      </x:c>
      <x:c r="F25" t="str">
        <x:v>Operating profit weakens sharply</x:v>
      </x:c>
    </x:row>
    <x:row r="26" ht="15" hidden="0" customHeight="1">
      <x:c r="A26" t="str">
        <x:v>Net profit</x:v>
      </x:c>
      <x:c r="B26" t="str">
        <x:v>BGN thousand</x:v>
      </x:c>
      <x:c r="C26" s="40" t="n">
        <x:v>12643</x:v>
      </x:c>
      <x:c r="D26" s="40" t="n">
        <x:v>7329</x:v>
      </x:c>
      <x:c r="E26" s="42" t="n">
        <x:f>IFERROR((D26-C26)/C26,"")</x:f>
        <x:v>-0.4203116348967808</x:v>
      </x:c>
      <x:c r="F26" t="str">
        <x:v>Headline Q4 contrast</x:v>
      </x:c>
    </x:row>
    <x:row r="27"/>
    <x:row r="28"/>
    <x:row r="29" ht="15" hidden="0" customHeight="1">
      <x:c r="A29" s="24" t="str">
        <x:v>Operational / strategic facts from the report</x:v>
      </x:c>
      <x:c r="B29" s="24"/>
      <x:c r="C29" s="24"/>
      <x:c r="D29" s="24"/>
      <x:c r="E29" s="24"/>
      <x:c r="F29" s="24"/>
      <x:c r="H29" s="16"/>
      <x:c r="I29" s="16"/>
      <x:c r="J29" s="16"/>
    </x:row>
    <x:row r="30" ht="15" hidden="0" customHeight="1">
      <x:c r="A30" s="32" t="str">
        <x:v>Metric</x:v>
      </x:c>
      <x:c r="B30" s="32" t="str">
        <x:v>Unit</x:v>
      </x:c>
      <x:c r="C30" s="32" t="str">
        <x:v>2024</x:v>
      </x:c>
      <x:c r="D30" s="32" t="str">
        <x:v>Lecture use</x:v>
      </x:c>
      <x:c r="H30"/>
      <x:c r="I30" s="42"/>
      <x:c r="J30" s="42"/>
    </x:row>
    <x:row r="31" ht="15" hidden="0" customHeight="1">
      <x:c r="A31" t="str">
        <x:v>Automatic parcel stations at year-end</x:v>
      </x:c>
      <x:c r="B31" t="str">
        <x:v>count</x:v>
      </x:c>
      <x:c r="C31" s="44" t="n">
        <x:v>430</x:v>
      </x:c>
      <x:c r="D31" t="str">
        <x:v>Expansion of out-of-home delivery infrastructure</x:v>
      </x:c>
      <x:c r="H31"/>
      <x:c r="I31" s="42"/>
      <x:c r="J31" s="42"/>
    </x:row>
    <x:row r="32" ht="15" hidden="0" customHeight="1">
      <x:c r="A32" t="str">
        <x:v>Parcel stations installed in Q4 2024</x:v>
      </x:c>
      <x:c r="B32" t="str">
        <x:v>count</x:v>
      </x:c>
      <x:c r="C32" s="44" t="n">
        <x:v>235</x:v>
      </x:c>
      <x:c r="D32" t="str">
        <x:v>Very rapid network build-out late in the year</x:v>
      </x:c>
    </x:row>
    <x:row r="33" ht="15" hidden="0" customHeight="1">
      <x:c r="A33" t="str">
        <x:v>Delivery points in Bulgaria at year-end</x:v>
      </x:c>
      <x:c r="B33" t="str">
        <x:v>count</x:v>
      </x:c>
      <x:c r="C33" s="44" t="n">
        <x:v>920</x:v>
      </x:c>
      <x:c r="D33" t="str">
        <x:v>Physical network expansion</x:v>
      </x:c>
    </x:row>
    <x:row r="34" ht="15" hidden="0" customHeight="1">
      <x:c r="A34" t="str">
        <x:v>Investment in fixed assets</x:v>
      </x:c>
      <x:c r="B34" t="str">
        <x:v>BGN million</x:v>
      </x:c>
      <x:c r="C34" s="44" t="n">
        <x:v>61.8</x:v>
      </x:c>
      <x:c r="D34" t="str">
        <x:v>Growth requires capital and may pressure short-run returns</x:v>
      </x:c>
    </x:row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G1"/>
    <x:mergeCell ref="A2:G2"/>
    <x:mergeCell ref="A14:F14"/>
    <x:mergeCell ref="A20:F20"/>
    <x:mergeCell ref="A29:F29"/>
  </x:mergeCells>
  <x:conditionalFormatting sqref="E5:E1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E22:E26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.590000152587891" hidden="0" customWidth="1"/>
    <x:col min="4" max="4" width="6.590000152587891" hidden="0" customWidth="1"/>
    <x:col min="5" max="5" width="14.670000076293945" hidden="0" customWidth="1"/>
    <x:col min="6" max="6" width="9.420000076293945" hidden="0" customWidth="1"/>
    <x:col min="7" max="7" width="9.420000076293945" hidden="0" customWidth="1"/>
    <x:col min="8" max="8" width="11.3100004196167" hidden="0" customWidth="1"/>
  </x:cols>
  <x:sheetData>
    <x:row r="1" ht="16.799999237060547" hidden="0" customHeight="1">
      <x:c r="A1" s="38" t="str">
        <x:v>Speedy AD revenue structure - official consolidated management report, Q4 2024</x:v>
      </x:c>
      <x:c r="B1" s="38"/>
      <x:c r="C1" s="38"/>
      <x:c r="D1" s="38"/>
      <x:c r="E1" s="38"/>
      <x:c r="F1" s="38"/>
      <x:c r="G1" s="38"/>
      <x:c r="H1" s="38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/>
    <x:row r="3" ht="15" hidden="0" customHeight="1">
      <x:c r="A3" s="16" t="str">
        <x:v>Metric</x:v>
      </x:c>
      <x:c r="B3" s="16" t="str">
        <x:v>Unit</x:v>
      </x:c>
      <x:c r="C3" s="16" t="str">
        <x:v>2023</x:v>
      </x:c>
      <x:c r="D3" s="16" t="str">
        <x:v>2024</x:v>
      </x:c>
      <x:c r="E3" s="16" t="str">
        <x:v>Annual change</x:v>
      </x:c>
      <x:c r="F3" s="16" t="str">
        <x:v>Q4 2023</x:v>
      </x:c>
      <x:c r="G3" s="16" t="str">
        <x:v>Q4 2024</x:v>
      </x:c>
      <x:c r="H3" s="16" t="str">
        <x:v>Q4 change</x:v>
      </x:c>
    </x:row>
    <x:row r="4" ht="15" hidden="0" customHeight="1">
      <x:c r="A4" t="str">
        <x:v>Domestic market</x:v>
      </x:c>
      <x:c r="B4" t="str">
        <x:v>BGN thousand</x:v>
      </x:c>
      <x:c r="C4" s="40" t="n">
        <x:v>235829</x:v>
      </x:c>
      <x:c r="D4" s="40" t="n">
        <x:v>265561</x:v>
      </x:c>
      <x:c r="E4" s="42" t="n">
        <x:v>0.126</x:v>
      </x:c>
      <x:c r="F4" s="40" t="n">
        <x:v>68927</x:v>
      </x:c>
      <x:c r="G4" s="40" t="n">
        <x:v>77765</x:v>
      </x:c>
      <x:c r="H4" s="42" t="n">
        <x:v>0.128</x:v>
      </x:c>
    </x:row>
    <x:row r="5" ht="15" hidden="0" customHeight="1">
      <x:c r="A5" t="str">
        <x:v>Share of total revenue - domestic</x:v>
      </x:c>
      <x:c r="B5" t="str">
        <x:v>%</x:v>
      </x:c>
      <x:c r="C5" s="42" t="n">
        <x:v>0.513</x:v>
      </x:c>
      <x:c r="D5" s="42" t="n">
        <x:v>0.512</x:v>
      </x:c>
      <x:c r="E5" s="42"/>
      <x:c r="F5" s="42" t="n">
        <x:v>0.53</x:v>
      </x:c>
      <x:c r="G5" s="42" t="n">
        <x:v>0.544</x:v>
      </x:c>
      <x:c r="H5" s="42"/>
    </x:row>
    <x:row r="6" ht="15" hidden="0" customHeight="1">
      <x:c r="A6" t="str">
        <x:v>International market</x:v>
      </x:c>
      <x:c r="B6" t="str">
        <x:v>BGN thousand</x:v>
      </x:c>
      <x:c r="C6" s="40" t="n">
        <x:v>215141</x:v>
      </x:c>
      <x:c r="D6" s="40" t="n">
        <x:v>242080</x:v>
      </x:c>
      <x:c r="E6" s="42" t="n">
        <x:v>0.125</x:v>
      </x:c>
      <x:c r="F6" s="40" t="n">
        <x:v>57844</x:v>
      </x:c>
      <x:c r="G6" s="40" t="n">
        <x:v>62063</x:v>
      </x:c>
      <x:c r="H6" s="42" t="n">
        <x:v>0.073</x:v>
      </x:c>
    </x:row>
    <x:row r="7" ht="15" hidden="0" customHeight="1">
      <x:c r="A7" t="str">
        <x:v>Share of total revenue - international</x:v>
      </x:c>
      <x:c r="B7" t="str">
        <x:v>%</x:v>
      </x:c>
      <x:c r="C7" s="42" t="n">
        <x:v>0.468</x:v>
      </x:c>
      <x:c r="D7" s="42" t="n">
        <x:v>0.466</x:v>
      </x:c>
      <x:c r="E7" s="42"/>
      <x:c r="F7" s="42" t="n">
        <x:v>0.445</x:v>
      </x:c>
      <x:c r="G7" s="42" t="n">
        <x:v>0.434</x:v>
      </x:c>
      <x:c r="H7" s="42"/>
    </x:row>
    <x:row r="8" ht="15" hidden="0" customHeight="1">
      <x:c r="A8" t="str">
        <x:v>Other revenue</x:v>
      </x:c>
      <x:c r="B8" t="str">
        <x:v>BGN thousand</x:v>
      </x:c>
      <x:c r="C8" s="40" t="n">
        <x:v>8684</x:v>
      </x:c>
      <x:c r="D8" s="40" t="n">
        <x:v>11525</x:v>
      </x:c>
      <x:c r="E8" s="42" t="n">
        <x:v>0.327</x:v>
      </x:c>
      <x:c r="F8" s="40" t="n">
        <x:v>3283</x:v>
      </x:c>
      <x:c r="G8" s="40" t="n">
        <x:v>3094</x:v>
      </x:c>
      <x:c r="H8" s="42" t="n">
        <x:v>-0.058</x:v>
      </x:c>
    </x:row>
    <x:row r="9" ht="15" hidden="0" customHeight="1">
      <x:c r="A9" t="str">
        <x:v>Share of total revenue - other</x:v>
      </x:c>
      <x:c r="B9" t="str">
        <x:v>%</x:v>
      </x:c>
      <x:c r="C9" s="42" t="n">
        <x:v>0.019</x:v>
      </x:c>
      <x:c r="D9" s="42" t="n">
        <x:v>0.022</x:v>
      </x:c>
      <x:c r="E9" s="42"/>
      <x:c r="F9" s="42" t="n">
        <x:v>0.025</x:v>
      </x:c>
      <x:c r="G9" s="42" t="n">
        <x:v>0.022</x:v>
      </x:c>
      <x:c r="H9" s="42"/>
    </x:row>
    <x:row r="10" ht="15" hidden="0" customHeight="1">
      <x:c r="A10" t="str">
        <x:v>Transported shipments</x:v>
      </x:c>
      <x:c r="B10" t="str">
        <x:v>thousand shipments</x:v>
      </x:c>
      <x:c r="C10" s="40" t="n">
        <x:v>72835</x:v>
      </x:c>
      <x:c r="D10" s="40" t="n">
        <x:v>80888</x:v>
      </x:c>
      <x:c r="E10" s="42" t="n">
        <x:v>0.111</x:v>
      </x:c>
      <x:c r="F10" s="40" t="n">
        <x:v>20762</x:v>
      </x:c>
      <x:c r="G10" s="40" t="n">
        <x:v>22086</x:v>
      </x:c>
      <x:c r="H10" s="42" t="n">
        <x:v>0.064</x:v>
      </x:c>
    </x:row>
    <x:row r="11" ht="15" hidden="0" customHeight="1">
      <x:c r="A11" t="str">
        <x:v>Total revenue</x:v>
      </x:c>
      <x:c r="B11" t="str">
        <x:v>BGN thousand</x:v>
      </x:c>
      <x:c r="C11" s="40" t="n">
        <x:v>459654</x:v>
      </x:c>
      <x:c r="D11" s="40" t="n">
        <x:v>519166</x:v>
      </x:c>
      <x:c r="E11" s="42" t="n">
        <x:v>0.129</x:v>
      </x:c>
      <x:c r="F11" s="40" t="n">
        <x:v>130054</x:v>
      </x:c>
      <x:c r="G11" s="40" t="n">
        <x:v>142922</x:v>
      </x:c>
      <x:c r="H11" s="42" t="n">
        <x:v>0.099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1"/>
  </x:mergeCells>
  <x:conditionalFormatting sqref="E4:E1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H4:H1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9359c358574c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.590000152587891" hidden="0" customWidth="1"/>
    <x:col min="4" max="4" width="6.590000152587891" hidden="0" customWidth="1"/>
    <x:col min="5" max="5" width="14.670000076293945" hidden="0" customWidth="1"/>
    <x:col min="6" max="6" width="9.420000076293945" hidden="0" customWidth="1"/>
    <x:col min="7" max="7" width="9.420000076293945" hidden="0" customWidth="1"/>
    <x:col min="8" max="8" width="11.3100004196167" hidden="0" customWidth="1"/>
  </x:cols>
  <x:sheetData>
    <x:row r="1" ht="16.799999237060547" hidden="0" customHeight="1">
      <x:c r="A1" s="38" t="str">
        <x:v>Speedy AD cost and profitability structure - official consolidated management report, Q4 2024</x:v>
      </x:c>
      <x:c r="B1" s="38"/>
      <x:c r="C1" s="38"/>
      <x:c r="D1" s="38"/>
      <x:c r="E1" s="38"/>
      <x:c r="F1" s="38"/>
      <x:c r="G1" s="38"/>
      <x:c r="H1" s="38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/>
    <x:row r="3" ht="15" hidden="0" customHeight="1">
      <x:c r="A3" s="16" t="str">
        <x:v>Metric</x:v>
      </x:c>
      <x:c r="B3" s="16" t="str">
        <x:v>Unit</x:v>
      </x:c>
      <x:c r="C3" s="16" t="str">
        <x:v>2023</x:v>
      </x:c>
      <x:c r="D3" s="16" t="str">
        <x:v>2024</x:v>
      </x:c>
      <x:c r="E3" s="16" t="str">
        <x:v>Annual change</x:v>
      </x:c>
      <x:c r="F3" s="16" t="str">
        <x:v>Q4 2023</x:v>
      </x:c>
      <x:c r="G3" s="16" t="str">
        <x:v>Q4 2024</x:v>
      </x:c>
      <x:c r="H3" s="16" t="str">
        <x:v>Q4 change</x:v>
      </x:c>
    </x:row>
    <x:row r="4" ht="15" hidden="0" customHeight="1">
      <x:c r="A4" t="str">
        <x:v>Materials expense</x:v>
      </x:c>
      <x:c r="B4" t="str">
        <x:v>BGN thousand</x:v>
      </x:c>
      <x:c r="C4" s="40" t="n">
        <x:v>19989</x:v>
      </x:c>
      <x:c r="D4" s="40" t="n">
        <x:v>19033</x:v>
      </x:c>
      <x:c r="E4" s="42" t="n">
        <x:v>-0.048</x:v>
      </x:c>
      <x:c r="F4" s="40" t="n">
        <x:v>5877</x:v>
      </x:c>
      <x:c r="G4" s="40" t="n">
        <x:v>5384</x:v>
      </x:c>
      <x:c r="H4" s="42" t="n">
        <x:v>-0.084</x:v>
      </x:c>
    </x:row>
    <x:row r="5" ht="15" hidden="0" customHeight="1">
      <x:c r="A5" t="str">
        <x:v>External services expense</x:v>
      </x:c>
      <x:c r="B5" t="str">
        <x:v>BGN thousand</x:v>
      </x:c>
      <x:c r="C5" s="40" t="n">
        <x:v>254964</x:v>
      </x:c>
      <x:c r="D5" s="40" t="n">
        <x:v>290001</x:v>
      </x:c>
      <x:c r="E5" s="42" t="n">
        <x:v>0.137</x:v>
      </x:c>
      <x:c r="F5" s="40" t="n">
        <x:v>75541</x:v>
      </x:c>
      <x:c r="G5" s="40" t="n">
        <x:v>81476</x:v>
      </x:c>
      <x:c r="H5" s="42" t="n">
        <x:v>0.079</x:v>
      </x:c>
    </x:row>
    <x:row r="6" ht="15" hidden="0" customHeight="1">
      <x:c r="A6" t="str">
        <x:v>Personnel expense</x:v>
      </x:c>
      <x:c r="B6" t="str">
        <x:v>BGN thousand</x:v>
      </x:c>
      <x:c r="C6" s="40" t="n">
        <x:v>98016</x:v>
      </x:c>
      <x:c r="D6" s="40" t="n">
        <x:v>116765</x:v>
      </x:c>
      <x:c r="E6" s="42" t="n">
        <x:v>0.191</x:v>
      </x:c>
      <x:c r="F6" s="40" t="n">
        <x:v>25236</x:v>
      </x:c>
      <x:c r="G6" s="40" t="n">
        <x:v>32361</x:v>
      </x:c>
      <x:c r="H6" s="42" t="n">
        <x:v>0.282</x:v>
      </x:c>
    </x:row>
    <x:row r="7" ht="15" hidden="0" customHeight="1">
      <x:c r="A7" t="str">
        <x:v>Other operating expenses</x:v>
      </x:c>
      <x:c r="B7" t="str">
        <x:v>BGN thousand</x:v>
      </x:c>
      <x:c r="C7" s="40" t="n">
        <x:v>5753</x:v>
      </x:c>
      <x:c r="D7" s="40" t="n">
        <x:v>8722</x:v>
      </x:c>
      <x:c r="E7" s="42" t="n">
        <x:v>0.516</x:v>
      </x:c>
      <x:c r="F7" s="40" t="n">
        <x:v>442</x:v>
      </x:c>
      <x:c r="G7" s="40" t="n">
        <x:v>3176</x:v>
      </x:c>
      <x:c r="H7" s="42" t="n">
        <x:v>6.186</x:v>
      </x:c>
    </x:row>
    <x:row r="8" ht="15" hidden="0" customHeight="1">
      <x:c r="A8" t="str">
        <x:v>Depreciation and amortisation</x:v>
      </x:c>
      <x:c r="B8" t="str">
        <x:v>BGN thousand</x:v>
      </x:c>
      <x:c r="C8" s="40" t="n">
        <x:v>35737</x:v>
      </x:c>
      <x:c r="D8" s="40" t="n">
        <x:v>40562</x:v>
      </x:c>
      <x:c r="E8" s="42" t="n">
        <x:v>0.135</x:v>
      </x:c>
      <x:c r="F8" s="40" t="n">
        <x:v>10008</x:v>
      </x:c>
      <x:c r="G8" s="40" t="n">
        <x:v>10720</x:v>
      </x:c>
      <x:c r="H8" s="42" t="n">
        <x:v>0.071</x:v>
      </x:c>
    </x:row>
    <x:row r="9" ht="15" hidden="0" customHeight="1">
      <x:c r="A9" t="str">
        <x:v>EBITDA</x:v>
      </x:c>
      <x:c r="B9" t="str">
        <x:v>BGN thousand</x:v>
      </x:c>
      <x:c r="C9" s="40" t="n">
        <x:v>83209</x:v>
      </x:c>
      <x:c r="D9" s="40" t="n">
        <x:v>84645</x:v>
      </x:c>
      <x:c r="E9" s="42" t="n">
        <x:v>0.017</x:v>
      </x:c>
      <x:c r="F9" s="40" t="n">
        <x:v>25235</x:v>
      </x:c>
      <x:c r="G9" s="40" t="n">
        <x:v>20525</x:v>
      </x:c>
      <x:c r="H9" s="42" t="n">
        <x:v>-0.187</x:v>
      </x:c>
    </x:row>
    <x:row r="10" ht="15" hidden="0" customHeight="1">
      <x:c r="A10" t="str">
        <x:v>EBIT</x:v>
      </x:c>
      <x:c r="B10" t="str">
        <x:v>BGN thousand</x:v>
      </x:c>
      <x:c r="C10" s="40" t="n">
        <x:v>47472</x:v>
      </x:c>
      <x:c r="D10" s="40" t="n">
        <x:v>44083</x:v>
      </x:c>
      <x:c r="E10" s="42" t="n">
        <x:v>-0.071</x:v>
      </x:c>
      <x:c r="F10" s="40" t="n">
        <x:v>15227</x:v>
      </x:c>
      <x:c r="G10" s="40" t="n">
        <x:v>9805</x:v>
      </x:c>
      <x:c r="H10" s="42" t="n">
        <x:v>-0.356</x:v>
      </x:c>
    </x:row>
    <x:row r="11" ht="15" hidden="0" customHeight="1">
      <x:c r="A11" t="str">
        <x:v>Net profit for the period</x:v>
      </x:c>
      <x:c r="B11" t="str">
        <x:v>BGN thousand</x:v>
      </x:c>
      <x:c r="C11" s="40" t="n">
        <x:v>39469</x:v>
      </x:c>
      <x:c r="D11" s="40" t="n">
        <x:v>35308</x:v>
      </x:c>
      <x:c r="E11" s="42" t="n">
        <x:v>-0.105</x:v>
      </x:c>
      <x:c r="F11" s="40" t="n">
        <x:v>12643</x:v>
      </x:c>
      <x:c r="G11" s="40" t="n">
        <x:v>7329</x:v>
      </x:c>
      <x:c r="H11" s="42" t="n">
        <x:v>-0.42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1"/>
  </x:mergeCells>
  <x:conditionalFormatting sqref="E4:E1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H4:H1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35ca158bd0c4f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.130000114440918" hidden="0" customWidth="1"/>
    <x:col min="3" max="3" width="6.590000152587891" hidden="0" customWidth="1"/>
    <x:col min="4" max="4" width="6.590000152587891" hidden="0" customWidth="1"/>
    <x:col min="5" max="5" width="14.670000076293945" hidden="0" customWidth="1"/>
    <x:col min="6" max="6" width="28" hidden="0" customWidth="1"/>
  </x:cols>
  <x:sheetData>
    <x:row r="1" ht="16.799999237060547" hidden="0" customHeight="1">
      <x:c r="A1" s="38" t="str">
        <x:v>Speedy AD operational indicators extracted from the 2024 management report</x:v>
      </x:c>
      <x:c r="B1" s="38"/>
      <x:c r="C1" s="38"/>
      <x:c r="D1" s="38"/>
      <x:c r="E1" s="38"/>
      <x:c r="F1" s="38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/>
    <x:row r="3" ht="15" hidden="0" customHeight="1">
      <x:c r="A3" s="16" t="str">
        <x:v>Metric</x:v>
      </x:c>
      <x:c r="B3" s="16" t="str">
        <x:v>Unit</x:v>
      </x:c>
      <x:c r="C3" s="16" t="str">
        <x:v>2023</x:v>
      </x:c>
      <x:c r="D3" s="16" t="str">
        <x:v>2024</x:v>
      </x:c>
      <x:c r="E3" s="16" t="str">
        <x:v>Annual change</x:v>
      </x:c>
      <x:c r="F3" s="16" t="str">
        <x:v>Source note</x:v>
      </x:c>
    </x:row>
    <x:row r="4" ht="15" hidden="0" customHeight="1">
      <x:c r="A4" t="str">
        <x:v>Courier-service revenue</x:v>
      </x:c>
      <x:c r="B4" t="str">
        <x:v>BGN million</x:v>
      </x:c>
      <x:c r="C4" s="44" t="n">
        <x:v>451</x:v>
      </x:c>
      <x:c r="D4" s="44" t="n">
        <x:v>507.6</x:v>
      </x:c>
      <x:c r="E4" s="42" t="n">
        <x:v>0.126</x:v>
      </x:c>
      <x:c r="F4" t="str">
        <x:v>Report text, section 1.1</x:v>
      </x:c>
    </x:row>
    <x:row r="5" ht="15" hidden="0" customHeight="1">
      <x:c r="A5" t="str">
        <x:v>Transported shipments</x:v>
      </x:c>
      <x:c r="B5" t="str">
        <x:v>million shipments</x:v>
      </x:c>
      <x:c r="C5" s="44" t="n">
        <x:v>72.835</x:v>
      </x:c>
      <x:c r="D5" s="44" t="n">
        <x:v>80.888</x:v>
      </x:c>
      <x:c r="E5" s="42" t="n">
        <x:v>0.111</x:v>
      </x:c>
      <x:c r="F5" t="str">
        <x:v>Report text and revenue table</x:v>
      </x:c>
    </x:row>
    <x:row r="6" ht="15" hidden="0" customHeight="1">
      <x:c r="A6" t="str">
        <x:v>Subcontractor costs</x:v>
      </x:c>
      <x:c r="B6" t="str">
        <x:v>BGN million</x:v>
      </x:c>
      <x:c r="C6" s="44" t="n">
        <x:v>219.4</x:v>
      </x:c>
      <x:c r="D6" s="44" t="n">
        <x:v>251.6</x:v>
      </x:c>
      <x:c r="E6" s="42" t="n">
        <x:v>0.146</x:v>
      </x:c>
      <x:c r="F6" t="str">
        <x:v>Report text, section 1.2</x:v>
      </x:c>
    </x:row>
    <x:row r="7" ht="15" hidden="0" customHeight="1">
      <x:c r="A7" t="str">
        <x:v>Personnel expense</x:v>
      </x:c>
      <x:c r="B7" t="str">
        <x:v>BGN million</x:v>
      </x:c>
      <x:c r="C7" s="44" t="n">
        <x:v>98</x:v>
      </x:c>
      <x:c r="D7" s="44" t="n">
        <x:v>116.8</x:v>
      </x:c>
      <x:c r="E7" s="42" t="n">
        <x:v>0.191</x:v>
      </x:c>
      <x:c r="F7" t="str">
        <x:v>Report text, section 1.2</x:v>
      </x:c>
    </x:row>
    <x:row r="8" ht="15" hidden="0" customHeight="1">
      <x:c r="A8" t="str">
        <x:v>Investment in fixed assets</x:v>
      </x:c>
      <x:c r="B8" t="str">
        <x:v>BGN million</x:v>
      </x:c>
      <x:c r="C8" s="44"/>
      <x:c r="D8" s="44" t="n">
        <x:v>61.8</x:v>
      </x:c>
      <x:c r="E8" s="42"/>
      <x:c r="F8" t="str">
        <x:v>Report text, section 1</x:v>
      </x:c>
    </x:row>
    <x:row r="9" ht="15" hidden="0" customHeight="1">
      <x:c r="A9" t="str">
        <x:v>Automatic parcel stations at year-end</x:v>
      </x:c>
      <x:c r="B9" t="str">
        <x:v>count</x:v>
      </x:c>
      <x:c r="C9" s="44"/>
      <x:c r="D9" s="44" t="n">
        <x:v>430</x:v>
      </x:c>
      <x:c r="E9" s="42"/>
      <x:c r="F9" t="str">
        <x:v>Report text, section 1</x:v>
      </x:c>
    </x:row>
    <x:row r="10" ht="15" hidden="0" customHeight="1">
      <x:c r="A10" t="str">
        <x:v>Parcel stations installed in Q4 2024</x:v>
      </x:c>
      <x:c r="B10" t="str">
        <x:v>count</x:v>
      </x:c>
      <x:c r="C10" s="44"/>
      <x:c r="D10" s="44" t="n">
        <x:v>235</x:v>
      </x:c>
      <x:c r="E10" s="42"/>
      <x:c r="F10" t="str">
        <x:v>Report text, section 1</x:v>
      </x:c>
    </x:row>
    <x:row r="11" ht="15" hidden="0" customHeight="1">
      <x:c r="A11" t="str">
        <x:v>Delivery points in Bulgaria at year-end</x:v>
      </x:c>
      <x:c r="B11" t="str">
        <x:v>count</x:v>
      </x:c>
      <x:c r="C11" s="44"/>
      <x:c r="D11" s="44" t="n">
        <x:v>920</x:v>
      </x:c>
      <x:c r="E11" s="42"/>
      <x:c r="F11" t="str">
        <x:v>Report text, section 1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F1"/>
  </x:mergeCells>
  <x:conditionalFormatting sqref="E4:E1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1cfebb40e864d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.220001220703125" hidden="0" customWidth="1"/>
    <x:col min="2" max="2" width="60" hidden="0" customWidth="1"/>
    <x:col min="3" max="3" width="50" hidden="0" customWidth="1"/>
    <x:col min="4" max="4" width="55" hidden="0" customWidth="1"/>
  </x:cols>
  <x:sheetData>
    <x:row r="1" ht="16.799999237060547" hidden="0" customHeight="1">
      <x:c r="A1" s="5" t="str">
        <x:v>Sources and usage notes</x:v>
      </x:c>
      <x:c r="B1" s="5"/>
      <x:c r="C1" s="5"/>
      <x:c r="D1" s="5"/>
    </x:row>
    <x:row r="2"/>
    <x:row r="3" ht="15" hidden="0" customHeight="1">
      <x:c r="A3" s="16" t="str">
        <x:v>Source</x:v>
      </x:c>
      <x:c r="B3" s="16" t="str">
        <x:v>URL</x:v>
      </x:c>
      <x:c r="C3" s="16" t="str">
        <x:v>What was extracted</x:v>
      </x:c>
      <x:c r="D3" s="16" t="str">
        <x:v>Notes</x:v>
      </x:c>
    </x:row>
    <x:row r="4" ht="15" hidden="0" customHeight="1">
      <x:c r="A4" t="str">
        <x:v>Speedy AD - Consolidated Management Report as of 31 Dec 2024</x:v>
      </x:c>
      <x:c r="B4" t="str">
        <x:v>https://www.speedy.bg/uploads/media/speedy_files/Management%20report%20Q4%2024%20Speedy%20cons-1740650530.pdf</x:v>
      </x:c>
      <x:c r="C4" t="str">
        <x:v>Revenue structure, parcel volumes, cost structure, profitability, selected operational indicators</x:v>
      </x:c>
      <x:c r="D4" t="str">
        <x:v>Figures are copied from the official company report. Monetary tables use BGN thousand unless stated otherwise.</x:v>
      </x:c>
    </x:row>
    <x:row r="5"/>
    <x:row r="6" ht="15" hidden="0" customHeight="1">
      <x:c r="A6" t="str">
        <x:v>Suggested lecture hook</x:v>
      </x:c>
      <x:c r="B6" t="str"/>
      <x:c r="C6" t="str">
        <x:v>Revenue +12.9% and shipments +11.1%, but net profit -10.5%; Q4 revenue +9.9% while Q4 net profit -42.0%.</x:v>
      </x:c>
      <x:c r="D6" t="str">
        <x:v>Use to teach that the most decision-relevant message is often a contradiction, not the largest number.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D1"/>
  </x:mergeCells>
  <x:pageMargins left="0.7" right="0.7" top="0.75" bottom="0.75" header="0.3" footer="0.3"/>
</x:worksheet>
</file>