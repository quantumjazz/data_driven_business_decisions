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дукти" sheetId="1" state="visible" r:id="rId3"/>
    <sheet name="Ресурси" sheetId="2" state="visible" r:id="rId4"/>
    <sheet name="Модел" sheetId="3" state="visible" r:id="rId5"/>
    <sheet name="Goal Seek" sheetId="4" state="visible" r:id="rId6"/>
    <sheet name="Упражнение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<sst xmlns="http://schemas.openxmlformats.org/spreadsheetml/2006/main" count="140" uniqueCount="122">
  <si>
    <t xml:space="preserve">Продукти на Датската пекарна</t>
  </si>
  <si>
    <t xml:space="preserve">За всеки продукт са зададени: печалба на брой, нужни ресурси и максимално дневно търсене.</t>
  </si>
  <si>
    <t xml:space="preserve">Продукт</t>
  </si>
  <si>
    <t xml:space="preserve">Код</t>
  </si>
  <si>
    <t xml:space="preserve">Печалба (€/бр)</t>
  </si>
  <si>
    <t xml:space="preserve">Брашно (kg/бр)</t>
  </si>
  <si>
    <t xml:space="preserve">Часове пекар (h/бр)</t>
  </si>
  <si>
    <t xml:space="preserve">Часове пещ (h/бр)</t>
  </si>
  <si>
    <t xml:space="preserve">Макс. търсене (бр/ден)</t>
  </si>
  <si>
    <t xml:space="preserve">Бележка</t>
  </si>
  <si>
    <t xml:space="preserve">Ръжен хляб (rugbrød)</t>
  </si>
  <si>
    <t xml:space="preserve">RYE</t>
  </si>
  <si>
    <t xml:space="preserve">Датски ръжен хляб — тежък, бавен, но премиум</t>
  </si>
  <si>
    <t xml:space="preserve">Канелбуле (kanelbulle)</t>
  </si>
  <si>
    <t xml:space="preserve">KAN</t>
  </si>
  <si>
    <t xml:space="preserve">Най-бързо продаваща се сутрешна закуска</t>
  </si>
  <si>
    <t xml:space="preserve">Датски кроасан (wienerbrød)</t>
  </si>
  <si>
    <t xml:space="preserve">DAN</t>
  </si>
  <si>
    <t xml:space="preserve">Класически маслен датски сладкиш</t>
  </si>
  <si>
    <t xml:space="preserve">Подсказка: оранжево = входни данни, които можете да промените за различни сценарии.</t>
  </si>
  <si>
    <t xml:space="preserve">Дневни ресурси на пекарната</t>
  </si>
  <si>
    <t xml:space="preserve">Това са ограниченията, в които Мария трябва да се впише всеки ден.</t>
  </si>
  <si>
    <t xml:space="preserve">Ресурс</t>
  </si>
  <si>
    <t xml:space="preserve">Наличност</t>
  </si>
  <si>
    <t xml:space="preserve">Мярка</t>
  </si>
  <si>
    <t xml:space="preserve">Брашно</t>
  </si>
  <si>
    <t xml:space="preserve">kg</t>
  </si>
  <si>
    <t xml:space="preserve">Получаваме доставка всяка сутрин — не можем да надвишим запаса</t>
  </si>
  <si>
    <t xml:space="preserve">Часове пекар</t>
  </si>
  <si>
    <t xml:space="preserve">часа</t>
  </si>
  <si>
    <t xml:space="preserve">Един пекар работи 8 часа на ден</t>
  </si>
  <si>
    <t xml:space="preserve">Часове пещ</t>
  </si>
  <si>
    <t xml:space="preserve">Пещта е активна максимум 10 часа дневно</t>
  </si>
  <si>
    <t xml:space="preserve">Оптимизационен модел — Solver-готов</t>
  </si>
  <si>
    <t xml:space="preserve">Цел: максимизиране на дневната печалба. Променливи решения (жълти): колко единици от всеки продукт да направим. Ограничения: ресурси и търсене.</t>
  </si>
  <si>
    <t xml:space="preserve">Количество (бр.)</t>
  </si>
  <si>
    <t xml:space="preserve">Макс. търсене (бр.)</t>
  </si>
  <si>
    <t xml:space="preserve">Принос за печалбата (€)</t>
  </si>
  <si>
    <t xml:space="preserve">Ръжен хляб</t>
  </si>
  <si>
    <t xml:space="preserve">Канелбуле</t>
  </si>
  <si>
    <t xml:space="preserve">Датски кроасан</t>
  </si>
  <si>
    <t xml:space="preserve">ОБЩА ПЕЧАЛБА (целева клетка)</t>
  </si>
  <si>
    <t xml:space="preserve">Ограничения (ресурси и търсене)</t>
  </si>
  <si>
    <t xml:space="preserve">Ресурс / ограничение</t>
  </si>
  <si>
    <t xml:space="preserve">Използвано</t>
  </si>
  <si>
    <t xml:space="preserve">Оператор</t>
  </si>
  <si>
    <t xml:space="preserve">Лимит</t>
  </si>
  <si>
    <t xml:space="preserve">Оставащо</t>
  </si>
  <si>
    <t xml:space="preserve">Брашно (kg)</t>
  </si>
  <si>
    <t xml:space="preserve">≤</t>
  </si>
  <si>
    <t xml:space="preserve">Дневен запас</t>
  </si>
  <si>
    <t xml:space="preserve">Часове пекар (h)</t>
  </si>
  <si>
    <t xml:space="preserve">Един пекар × 8 часа</t>
  </si>
  <si>
    <t xml:space="preserve">Часове пещ (h)</t>
  </si>
  <si>
    <t xml:space="preserve">Пещта работи до 10 h</t>
  </si>
  <si>
    <t xml:space="preserve">Търсене: Ръжен хляб</t>
  </si>
  <si>
    <t xml:space="preserve">Максимум клиенти на ден</t>
  </si>
  <si>
    <t xml:space="preserve">Търсене: Канелбуле</t>
  </si>
  <si>
    <t xml:space="preserve">Търсене: Датски кроасан</t>
  </si>
  <si>
    <t xml:space="preserve">Не забравяйте: в Solver добавете условие „Make Unconstrained Variables Non-Negative“ ИЛИ ограничение B5:B7 ≥ 0. Метод: Simplex LP.</t>
  </si>
  <si>
    <t xml:space="preserve">Стъпки за Solver</t>
  </si>
  <si>
    <t xml:space="preserve">1. Data → Solver (ако липсва: File → Options → Add-ins → Solver Add-in → Go → ✓ → OK)</t>
  </si>
  <si>
    <t xml:space="preserve">2. Set Objective: $H$8 (обща печалба)</t>
  </si>
  <si>
    <t xml:space="preserve">3. To: Max</t>
  </si>
  <si>
    <t xml:space="preserve">4. By Changing Variable Cells: $B$5:$B$7</t>
  </si>
  <si>
    <t xml:space="preserve">5. Subject to the Constraints:</t>
  </si>
  <si>
    <t xml:space="preserve">     $B$12 ≤ $D$12   (брашно)</t>
  </si>
  <si>
    <t xml:space="preserve">     $B$13 ≤ $D$13   (часове пекар)</t>
  </si>
  <si>
    <t xml:space="preserve">     $B$14 ≤ $D$14   (часове пещ)</t>
  </si>
  <si>
    <t xml:space="preserve">     $B$15:$B$17 ≤ $D$15:$D$17   (търсене по продукт)</t>
  </si>
  <si>
    <t xml:space="preserve">     $B$5:$B$7 ≥ 0   (неотрицателност)</t>
  </si>
  <si>
    <t xml:space="preserve">6. ✓ Make Unconstrained Variables Non-Negative (двойна сигурност)</t>
  </si>
  <si>
    <t xml:space="preserve">7. Select a Solving Method: Simplex LP</t>
  </si>
  <si>
    <t xml:space="preserve">8. Solve → Keep Solver Solution → OK</t>
  </si>
  <si>
    <t xml:space="preserve">Goal Seek — единична променлива</t>
  </si>
  <si>
    <t xml:space="preserve">Преди Solver — опитайте Goal Seek за ОДНА променлива. Колко датски кроасана трябва да продадем, за да спечелим 200 €?</t>
  </si>
  <si>
    <t xml:space="preserve">Параметър</t>
  </si>
  <si>
    <t xml:space="preserve">Стойност</t>
  </si>
  <si>
    <t xml:space="preserve">Печалба на брой</t>
  </si>
  <si>
    <t xml:space="preserve">€</t>
  </si>
  <si>
    <t xml:space="preserve">Брой продадени кроасани</t>
  </si>
  <si>
    <t xml:space="preserve">бр.</t>
  </si>
  <si>
    <t xml:space="preserve">Обща печалба</t>
  </si>
  <si>
    <t xml:space="preserve">Целева печалба</t>
  </si>
  <si>
    <t xml:space="preserve">Стъпки:</t>
  </si>
  <si>
    <t xml:space="preserve">1. Data → What-If Analysis → Goal Seek</t>
  </si>
  <si>
    <t xml:space="preserve">2. Set cell: $B$8  (обща печалба)</t>
  </si>
  <si>
    <t xml:space="preserve">3. To value: 200</t>
  </si>
  <si>
    <t xml:space="preserve">4. By changing cell: $B$7  (брой продадени кроасани)</t>
  </si>
  <si>
    <t xml:space="preserve">5. OK → Excel ще попълни колко бройки са нужни.</t>
  </si>
  <si>
    <t xml:space="preserve">Защо това не е достатъчно? Goal Seek работи с ЕДНА променлива. В реалната пекарна имаме ТРИ продукта и ТРИ ресурса — нужен е Solver.</t>
  </si>
  <si>
    <t xml:space="preserve">Домашно упражнение — сценарии</t>
  </si>
  <si>
    <t xml:space="preserve">Задача: в шийт „Модел“ решете LP задачата със Solver. След това опитайте сценариите отдолу — във всеки случай променете само входната клетка и пуснете Solver отново.</t>
  </si>
  <si>
    <t xml:space="preserve">№</t>
  </si>
  <si>
    <t xml:space="preserve">Сценарий</t>
  </si>
  <si>
    <t xml:space="preserve">Какво да промените</t>
  </si>
  <si>
    <t xml:space="preserve">Оптимално х1 (Ръжен)</t>
  </si>
  <si>
    <t xml:space="preserve">Оптимално х2 (Канел)</t>
  </si>
  <si>
    <t xml:space="preserve">Оптимално х3 (Датски)</t>
  </si>
  <si>
    <t xml:space="preserve">Печалба (€)</t>
  </si>
  <si>
    <t xml:space="preserve">Кое ограничение е ключово?</t>
  </si>
  <si>
    <t xml:space="preserve">A</t>
  </si>
  <si>
    <t xml:space="preserve">Базов сценарий</t>
  </si>
  <si>
    <t xml:space="preserve">Никакви промени — просто пуснете Solver</t>
  </si>
  <si>
    <t xml:space="preserve">B</t>
  </si>
  <si>
    <t xml:space="preserve">Брашно намалено с 20%</t>
  </si>
  <si>
    <t xml:space="preserve">Ресурси!B6 = 20</t>
  </si>
  <si>
    <t xml:space="preserve">C</t>
  </si>
  <si>
    <t xml:space="preserve">Пещта повредена — само 8 часа</t>
  </si>
  <si>
    <t xml:space="preserve">Ресурси!B8 = 8</t>
  </si>
  <si>
    <t xml:space="preserve">D</t>
  </si>
  <si>
    <t xml:space="preserve">Нов служител — 12 часа пекар</t>
  </si>
  <si>
    <t xml:space="preserve">Ресурси!B7 = 12</t>
  </si>
  <si>
    <t xml:space="preserve">E</t>
  </si>
  <si>
    <t xml:space="preserve">Кризисно търсене на канелбуле — до 120</t>
  </si>
  <si>
    <t xml:space="preserve">Продукти!G7 = 120</t>
  </si>
  <si>
    <t xml:space="preserve">Въпроси за обобщаване</t>
  </si>
  <si>
    <t xml:space="preserve">1. Кой сценарий води до най-голяма загуба на печалба спрямо базовия?</t>
  </si>
  <si>
    <t xml:space="preserve">2. Кое от трите ограничения (брашно, пекар, пещ) е най-често „стегнато“ (с 0 оставащо)?</t>
  </si>
  <si>
    <t xml:space="preserve">3. Ако имате 50 € за допълнителен ресурс — бихте купили повече брашно, час пекар или час пещ? Защо?</t>
  </si>
  <si>
    <t xml:space="preserve">4. Какво се променя, ако добавим 4-ти продукт (баница за 2.50 € с 0.15 kg брашно, 0.06 h пекар, 0.05 h пещ, максимум 40 бр.)?</t>
  </si>
  <si>
    <t xml:space="preserve">5. Напишете 5 изречения до Мария: какво да прави в понеделник и защо.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</si>
</sst>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&quot;€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i val="true"/>
      <sz val="10"/>
      <color rgb="FFB45309"/>
      <name val="Arial"/>
      <family val="0"/>
      <charset val="1"/>
    </font>
    <font>
      <sz val="10"/>
      <color rgb="FF1F293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F2937"/>
      </patternFill>
    </fill>
    <fill>
      <patternFill patternType="solid">
        <fgColor rgb="FFFFF7ED"/>
        <bgColor rgb="FFF3F4F6"/>
      </patternFill>
    </fill>
    <fill>
      <patternFill patternType="solid">
        <fgColor rgb="FFFEF3C7"/>
        <bgColor rgb="FFFFF7ED"/>
      </patternFill>
    </fill>
    <fill>
      <patternFill patternType="solid">
        <fgColor rgb="FFF3F4F6"/>
        <bgColor rgb="FFF0FDF4"/>
      </patternFill>
    </fill>
    <fill>
      <patternFill patternType="solid">
        <fgColor rgb="FFDBEAFE"/>
        <bgColor rgb="FFF3F4F6"/>
      </patternFill>
    </fill>
    <fill>
      <patternFill patternType="solid">
        <fgColor rgb="FFF0FDF4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F3F4F6"/>
      <rgbColor rgb="FFFFF7E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1A1A2E"/>
      <rgbColor rgb="FFB45309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4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39.7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customFormat="false" ht="23.25" hidden="false" customHeight="true" outlineLevel="0" collapsed="false">
      <c r="A6" s="5" t="s">
        <v>10</v>
      </c>
      <c r="B6" s="5" t="s">
        <v>11</v>
      </c>
      <c r="C6" s="6" t="n">
        <v>3</v>
      </c>
      <c r="D6" s="6" t="n">
        <v>0.5</v>
      </c>
      <c r="E6" s="6" t="n">
        <v>0.1</v>
      </c>
      <c r="F6" s="6" t="n">
        <v>0.15</v>
      </c>
      <c r="G6" s="7" t="n">
        <v>30</v>
      </c>
      <c r="H6" s="8" t="s">
        <v>12</v>
      </c>
    </row>
    <row r="7" customFormat="false" ht="15" hidden="false" customHeight="true" outlineLevel="0" collapsed="false">
      <c r="A7" s="5" t="s">
        <v>13</v>
      </c>
      <c r="B7" s="5" t="s">
        <v>14</v>
      </c>
      <c r="C7" s="6" t="n">
        <v>1.5</v>
      </c>
      <c r="D7" s="6" t="n">
        <v>0.08</v>
      </c>
      <c r="E7" s="6" t="n">
        <v>0.05</v>
      </c>
      <c r="F7" s="6" t="n">
        <v>0.05</v>
      </c>
      <c r="G7" s="7" t="n">
        <v>80</v>
      </c>
      <c r="H7" s="8" t="s">
        <v>15</v>
      </c>
    </row>
    <row r="8" customFormat="false" ht="26.25" hidden="false" customHeight="true" outlineLevel="0" collapsed="false">
      <c r="A8" s="5" t="s">
        <v>16</v>
      </c>
      <c r="B8" s="5" t="s">
        <v>17</v>
      </c>
      <c r="C8" s="6" t="n">
        <v>2</v>
      </c>
      <c r="D8" s="6" t="n">
        <v>0.1</v>
      </c>
      <c r="E8" s="6" t="n">
        <v>0.08</v>
      </c>
      <c r="F8" s="6" t="n">
        <v>0.07</v>
      </c>
      <c r="G8" s="7" t="n">
        <v>60</v>
      </c>
      <c r="H8" s="8" t="s">
        <v>18</v>
      </c>
    </row>
    <row r="11" customFormat="false" ht="15" hidden="false" customHeight="true" outlineLevel="0" collapsed="false">
      <c r="A11" s="9" t="s">
        <v>19</v>
      </c>
      <c r="B11" s="9"/>
      <c r="C11" s="9"/>
      <c r="D11" s="9"/>
      <c r="E11" s="9"/>
      <c r="F11" s="9"/>
      <c r="G11" s="9"/>
      <c r="H11" s="9"/>
    </row>
  </sheetData>
  <mergeCells count="3">
    <mergeCell ref="A1:H1"/>
    <mergeCell ref="A3:H3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8"/>
  </cols>
  <sheetData>
    <row r="1" customFormat="false" ht="17.25" hidden="false" customHeight="true" outlineLevel="0" collapsed="false">
      <c r="A1" s="2" t="s">
        <v>20</v>
      </c>
      <c r="B1" s="2"/>
      <c r="C1" s="2"/>
      <c r="D1" s="2"/>
    </row>
    <row r="3" customFormat="false" ht="15" hidden="false" customHeight="true" outlineLevel="0" collapsed="false">
      <c r="A3" s="3" t="s">
        <v>21</v>
      </c>
      <c r="B3" s="3"/>
      <c r="C3" s="3"/>
      <c r="D3" s="3"/>
    </row>
    <row r="5" customFormat="false" ht="30" hidden="false" customHeight="true" outlineLevel="0" collapsed="false">
      <c r="A5" s="4" t="s">
        <v>22</v>
      </c>
      <c r="B5" s="4" t="s">
        <v>23</v>
      </c>
      <c r="C5" s="4" t="s">
        <v>24</v>
      </c>
      <c r="D5" s="4" t="s">
        <v>9</v>
      </c>
    </row>
    <row r="6" customFormat="false" ht="23.25" hidden="false" customHeight="true" outlineLevel="0" collapsed="false">
      <c r="A6" s="5" t="s">
        <v>25</v>
      </c>
      <c r="B6" s="7" t="n">
        <v>25</v>
      </c>
      <c r="C6" s="5" t="s">
        <v>26</v>
      </c>
      <c r="D6" s="8" t="s">
        <v>27</v>
      </c>
    </row>
    <row r="7" customFormat="false" ht="15" hidden="false" customHeight="true" outlineLevel="0" collapsed="false">
      <c r="A7" s="5" t="s">
        <v>28</v>
      </c>
      <c r="B7" s="7" t="n">
        <v>8</v>
      </c>
      <c r="C7" s="5" t="s">
        <v>29</v>
      </c>
      <c r="D7" s="8" t="s">
        <v>30</v>
      </c>
    </row>
    <row r="8" customFormat="false" ht="15" hidden="false" customHeight="true" outlineLevel="0" collapsed="false">
      <c r="A8" s="5" t="s">
        <v>31</v>
      </c>
      <c r="B8" s="7" t="n">
        <v>10</v>
      </c>
      <c r="C8" s="5" t="s">
        <v>29</v>
      </c>
      <c r="D8" s="8" t="s">
        <v>32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38"/>
    <col collapsed="false" customWidth="true" hidden="false" outlineLevel="0" max="7" min="7" style="1" width="10"/>
    <col collapsed="false" customWidth="true" hidden="false" outlineLevel="0" max="8" min="8" style="1" width="22"/>
  </cols>
  <sheetData>
    <row r="1" customFormat="false" ht="25.5" hidden="false" customHeight="true" outlineLevel="0" collapsed="false">
      <c r="A1" s="2" t="s">
        <v>33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34</v>
      </c>
      <c r="B2" s="3"/>
      <c r="C2" s="3"/>
      <c r="D2" s="3"/>
      <c r="E2" s="3"/>
      <c r="F2" s="3"/>
      <c r="G2" s="3"/>
      <c r="H2" s="3"/>
    </row>
    <row r="4" customFormat="false" ht="42" hidden="false" customHeight="true" outlineLevel="0" collapsed="false">
      <c r="A4" s="4" t="s">
        <v>2</v>
      </c>
      <c r="B4" s="4" t="s">
        <v>35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36</v>
      </c>
      <c r="H4" s="4" t="s">
        <v>37</v>
      </c>
    </row>
    <row r="5" customFormat="false" ht="15" hidden="false" customHeight="true" outlineLevel="0" collapsed="false">
      <c r="A5" s="5" t="s">
        <v>38</v>
      </c>
      <c r="B5" s="10" t="n">
        <v>0</v>
      </c>
      <c r="C5" s="11" t="n">
        <f aca="false">Продукти!C6</f>
        <v>3</v>
      </c>
      <c r="D5" s="11" t="n">
        <f aca="false">Продукти!D6</f>
        <v>0.5</v>
      </c>
      <c r="E5" s="11" t="n">
        <f aca="false">Продукти!E6</f>
        <v>0.1</v>
      </c>
      <c r="F5" s="11" t="n">
        <f aca="false">Продукти!F6</f>
        <v>0.15</v>
      </c>
      <c r="G5" s="12" t="n">
        <f aca="false">Продукти!G6</f>
        <v>30</v>
      </c>
      <c r="H5" s="13" t="n">
        <f aca="false">B5*C5</f>
        <v>0</v>
      </c>
    </row>
    <row r="6" customFormat="false" ht="15" hidden="false" customHeight="true" outlineLevel="0" collapsed="false">
      <c r="A6" s="5" t="s">
        <v>39</v>
      </c>
      <c r="B6" s="10" t="n">
        <v>0</v>
      </c>
      <c r="C6" s="11" t="n">
        <f aca="false">Продукти!C7</f>
        <v>1.5</v>
      </c>
      <c r="D6" s="11" t="n">
        <f aca="false">Продукти!D7</f>
        <v>0.08</v>
      </c>
      <c r="E6" s="11" t="n">
        <f aca="false">Продукти!E7</f>
        <v>0.05</v>
      </c>
      <c r="F6" s="11" t="n">
        <f aca="false">Продукти!F7</f>
        <v>0.05</v>
      </c>
      <c r="G6" s="12" t="n">
        <f aca="false">Продукти!G7</f>
        <v>80</v>
      </c>
      <c r="H6" s="13" t="n">
        <f aca="false">B6*C6</f>
        <v>0</v>
      </c>
    </row>
    <row r="7" customFormat="false" ht="15" hidden="false" customHeight="true" outlineLevel="0" collapsed="false">
      <c r="A7" s="5" t="s">
        <v>40</v>
      </c>
      <c r="B7" s="10" t="n">
        <v>0</v>
      </c>
      <c r="C7" s="11" t="n">
        <f aca="false">Продукти!C8</f>
        <v>2</v>
      </c>
      <c r="D7" s="11" t="n">
        <f aca="false">Продукти!D8</f>
        <v>0.1</v>
      </c>
      <c r="E7" s="11" t="n">
        <f aca="false">Продукти!E8</f>
        <v>0.08</v>
      </c>
      <c r="F7" s="11" t="n">
        <f aca="false">Продукти!F8</f>
        <v>0.07</v>
      </c>
      <c r="G7" s="12" t="n">
        <f aca="false">Продукти!G8</f>
        <v>60</v>
      </c>
      <c r="H7" s="13" t="n">
        <f aca="false">B7*C7</f>
        <v>0</v>
      </c>
    </row>
    <row r="8" customFormat="false" ht="15" hidden="false" customHeight="true" outlineLevel="0" collapsed="false">
      <c r="A8" s="14" t="s">
        <v>41</v>
      </c>
      <c r="B8" s="14"/>
      <c r="C8" s="14"/>
      <c r="D8" s="14"/>
      <c r="E8" s="14"/>
      <c r="F8" s="14"/>
      <c r="G8" s="14"/>
      <c r="H8" s="15" t="n">
        <f aca="false">SUM(H5:H7)</f>
        <v>0</v>
      </c>
    </row>
    <row r="10" customFormat="false" ht="15" hidden="false" customHeight="true" outlineLevel="0" collapsed="false">
      <c r="A10" s="16" t="s">
        <v>42</v>
      </c>
      <c r="B10" s="16"/>
      <c r="C10" s="16"/>
      <c r="D10" s="16"/>
      <c r="E10" s="16"/>
      <c r="F10" s="16"/>
      <c r="G10" s="16"/>
      <c r="H10" s="16"/>
    </row>
    <row r="11" customFormat="false" ht="27.75" hidden="false" customHeight="true" outlineLevel="0" collapsed="false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9</v>
      </c>
    </row>
    <row r="12" customFormat="false" ht="15" hidden="false" customHeight="true" outlineLevel="0" collapsed="false">
      <c r="A12" s="5" t="s">
        <v>48</v>
      </c>
      <c r="B12" s="13" t="n">
        <f aca="false">SUMPRODUCT(B5:B7, D5:D7)</f>
        <v>0</v>
      </c>
      <c r="C12" s="17" t="s">
        <v>49</v>
      </c>
      <c r="D12" s="13" t="n">
        <f aca="false">Ресурси!B6</f>
        <v>25</v>
      </c>
      <c r="E12" s="13" t="n">
        <f aca="false">D12-B12</f>
        <v>25</v>
      </c>
      <c r="F12" s="8" t="s">
        <v>50</v>
      </c>
    </row>
    <row r="13" customFormat="false" ht="15" hidden="false" customHeight="true" outlineLevel="0" collapsed="false">
      <c r="A13" s="5" t="s">
        <v>51</v>
      </c>
      <c r="B13" s="13" t="n">
        <f aca="false">SUMPRODUCT(B5:B7, E5:E7)</f>
        <v>0</v>
      </c>
      <c r="C13" s="17" t="s">
        <v>49</v>
      </c>
      <c r="D13" s="13" t="n">
        <f aca="false">Ресурси!B7</f>
        <v>8</v>
      </c>
      <c r="E13" s="13" t="n">
        <f aca="false">D13-B13</f>
        <v>8</v>
      </c>
      <c r="F13" s="8" t="s">
        <v>52</v>
      </c>
    </row>
    <row r="14" customFormat="false" ht="15" hidden="false" customHeight="true" outlineLevel="0" collapsed="false">
      <c r="A14" s="5" t="s">
        <v>53</v>
      </c>
      <c r="B14" s="13" t="n">
        <f aca="false">SUMPRODUCT(B5:B7, F5:F7)</f>
        <v>0</v>
      </c>
      <c r="C14" s="17" t="s">
        <v>49</v>
      </c>
      <c r="D14" s="13" t="n">
        <f aca="false">Ресурси!B8</f>
        <v>10</v>
      </c>
      <c r="E14" s="13" t="n">
        <f aca="false">D14-B14</f>
        <v>10</v>
      </c>
      <c r="F14" s="8" t="s">
        <v>54</v>
      </c>
    </row>
    <row r="15" customFormat="false" ht="15" hidden="false" customHeight="true" outlineLevel="0" collapsed="false">
      <c r="A15" s="5" t="s">
        <v>55</v>
      </c>
      <c r="B15" s="18" t="n">
        <f aca="false">B5</f>
        <v>0</v>
      </c>
      <c r="C15" s="17" t="s">
        <v>49</v>
      </c>
      <c r="D15" s="18" t="n">
        <f aca="false">G5</f>
        <v>30</v>
      </c>
      <c r="E15" s="18" t="n">
        <f aca="false">D15-B15</f>
        <v>30</v>
      </c>
      <c r="F15" s="8" t="s">
        <v>56</v>
      </c>
    </row>
    <row r="16" customFormat="false" ht="15" hidden="false" customHeight="true" outlineLevel="0" collapsed="false">
      <c r="A16" s="5" t="s">
        <v>57</v>
      </c>
      <c r="B16" s="18" t="n">
        <f aca="false">B6</f>
        <v>0</v>
      </c>
      <c r="C16" s="17" t="s">
        <v>49</v>
      </c>
      <c r="D16" s="18" t="n">
        <f aca="false">G6</f>
        <v>80</v>
      </c>
      <c r="E16" s="18" t="n">
        <f aca="false">D16-B16</f>
        <v>80</v>
      </c>
      <c r="F16" s="8" t="s">
        <v>56</v>
      </c>
    </row>
    <row r="17" customFormat="false" ht="15" hidden="false" customHeight="true" outlineLevel="0" collapsed="false">
      <c r="A17" s="5" t="s">
        <v>58</v>
      </c>
      <c r="B17" s="18" t="n">
        <f aca="false">B7</f>
        <v>0</v>
      </c>
      <c r="C17" s="17" t="s">
        <v>49</v>
      </c>
      <c r="D17" s="18" t="n">
        <f aca="false">G7</f>
        <v>60</v>
      </c>
      <c r="E17" s="18" t="n">
        <f aca="false">D17-B17</f>
        <v>60</v>
      </c>
      <c r="F17" s="8" t="s">
        <v>56</v>
      </c>
    </row>
    <row r="19" customFormat="false" ht="30" hidden="false" customHeight="true" outlineLevel="0" collapsed="false">
      <c r="A19" s="19" t="s">
        <v>59</v>
      </c>
      <c r="B19" s="19"/>
      <c r="C19" s="19"/>
      <c r="D19" s="19"/>
      <c r="E19" s="19"/>
      <c r="F19" s="19"/>
      <c r="G19" s="19"/>
      <c r="H19" s="19"/>
    </row>
    <row r="21" customFormat="false" ht="15" hidden="false" customHeight="true" outlineLevel="0" collapsed="false">
      <c r="A21" s="20" t="s">
        <v>60</v>
      </c>
    </row>
    <row r="22" customFormat="false" ht="15" hidden="false" customHeight="true" outlineLevel="0" collapsed="false">
      <c r="A22" s="21" t="s">
        <v>61</v>
      </c>
      <c r="B22" s="21"/>
      <c r="C22" s="21"/>
      <c r="D22" s="21"/>
      <c r="E22" s="21"/>
      <c r="F22" s="21"/>
      <c r="G22" s="21"/>
      <c r="H22" s="21"/>
    </row>
    <row r="23" customFormat="false" ht="15" hidden="false" customHeight="true" outlineLevel="0" collapsed="false">
      <c r="A23" s="21" t="s">
        <v>62</v>
      </c>
      <c r="B23" s="21"/>
      <c r="C23" s="21"/>
      <c r="D23" s="21"/>
      <c r="E23" s="21"/>
      <c r="F23" s="21"/>
      <c r="G23" s="21"/>
      <c r="H23" s="21"/>
    </row>
    <row r="24" customFormat="false" ht="15" hidden="false" customHeight="true" outlineLevel="0" collapsed="false">
      <c r="A24" s="21" t="s">
        <v>63</v>
      </c>
      <c r="B24" s="21"/>
      <c r="C24" s="21"/>
      <c r="D24" s="21"/>
      <c r="E24" s="21"/>
      <c r="F24" s="21"/>
      <c r="G24" s="21"/>
      <c r="H24" s="21"/>
    </row>
    <row r="25" customFormat="false" ht="15" hidden="false" customHeight="true" outlineLevel="0" collapsed="false">
      <c r="A25" s="21" t="s">
        <v>64</v>
      </c>
      <c r="B25" s="21"/>
      <c r="C25" s="21"/>
      <c r="D25" s="21"/>
      <c r="E25" s="21"/>
      <c r="F25" s="21"/>
      <c r="G25" s="21"/>
      <c r="H25" s="21"/>
    </row>
    <row r="26" customFormat="false" ht="15" hidden="false" customHeight="true" outlineLevel="0" collapsed="false">
      <c r="A26" s="21" t="s">
        <v>65</v>
      </c>
      <c r="B26" s="21"/>
      <c r="C26" s="21"/>
      <c r="D26" s="21"/>
      <c r="E26" s="21"/>
      <c r="F26" s="21"/>
      <c r="G26" s="21"/>
      <c r="H26" s="21"/>
    </row>
    <row r="27" customFormat="false" ht="15" hidden="false" customHeight="true" outlineLevel="0" collapsed="false">
      <c r="A27" s="21" t="s">
        <v>66</v>
      </c>
      <c r="B27" s="21"/>
      <c r="C27" s="21"/>
      <c r="D27" s="21"/>
      <c r="E27" s="21"/>
      <c r="F27" s="21"/>
      <c r="G27" s="21"/>
      <c r="H27" s="21"/>
    </row>
    <row r="28" customFormat="false" ht="15" hidden="false" customHeight="true" outlineLevel="0" collapsed="false">
      <c r="A28" s="21" t="s">
        <v>67</v>
      </c>
      <c r="B28" s="21"/>
      <c r="C28" s="21"/>
      <c r="D28" s="21"/>
      <c r="E28" s="21"/>
      <c r="F28" s="21"/>
      <c r="G28" s="21"/>
      <c r="H28" s="21"/>
    </row>
    <row r="29" customFormat="false" ht="15" hidden="false" customHeight="true" outlineLevel="0" collapsed="false">
      <c r="A29" s="21" t="s">
        <v>68</v>
      </c>
      <c r="B29" s="21"/>
      <c r="C29" s="21"/>
      <c r="D29" s="21"/>
      <c r="E29" s="21"/>
      <c r="F29" s="21"/>
      <c r="G29" s="21"/>
      <c r="H29" s="21"/>
    </row>
    <row r="30" customFormat="false" ht="15" hidden="false" customHeight="true" outlineLevel="0" collapsed="false">
      <c r="A30" s="21" t="s">
        <v>69</v>
      </c>
      <c r="B30" s="21"/>
      <c r="C30" s="21"/>
      <c r="D30" s="21"/>
      <c r="E30" s="21"/>
      <c r="F30" s="21"/>
      <c r="G30" s="21"/>
      <c r="H30" s="21"/>
    </row>
    <row r="31" customFormat="false" ht="15" hidden="false" customHeight="true" outlineLevel="0" collapsed="false">
      <c r="A31" s="21" t="s">
        <v>70</v>
      </c>
      <c r="B31" s="21"/>
      <c r="C31" s="21"/>
      <c r="D31" s="21"/>
      <c r="E31" s="21"/>
      <c r="F31" s="21"/>
      <c r="G31" s="21"/>
      <c r="H31" s="21"/>
    </row>
    <row r="32" customFormat="false" ht="15" hidden="false" customHeight="true" outlineLevel="0" collapsed="false">
      <c r="A32" s="21" t="s">
        <v>71</v>
      </c>
      <c r="B32" s="21"/>
      <c r="C32" s="21"/>
      <c r="D32" s="21"/>
      <c r="E32" s="21"/>
      <c r="F32" s="21"/>
      <c r="G32" s="21"/>
      <c r="H32" s="21"/>
    </row>
    <row r="33" customFormat="false" ht="15" hidden="false" customHeight="true" outlineLevel="0" collapsed="false">
      <c r="A33" s="21" t="s">
        <v>72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true" outlineLevel="0" collapsed="false">
      <c r="A34" s="21" t="s">
        <v>73</v>
      </c>
      <c r="B34" s="21"/>
      <c r="C34" s="21"/>
      <c r="D34" s="21"/>
      <c r="E34" s="21"/>
      <c r="F34" s="21"/>
      <c r="G34" s="21"/>
      <c r="H34" s="21"/>
    </row>
  </sheetData>
  <mergeCells count="18">
    <mergeCell ref="A1:H1"/>
    <mergeCell ref="A2:H2"/>
    <mergeCell ref="A8:G8"/>
    <mergeCell ref="A10:H10"/>
    <mergeCell ref="A19:H19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20"/>
  </cols>
  <sheetData>
    <row r="1" customFormat="false" ht="25.5" hidden="false" customHeight="true" outlineLevel="0" collapsed="false">
      <c r="A1" s="2" t="s">
        <v>74</v>
      </c>
      <c r="B1" s="2"/>
      <c r="C1" s="2"/>
      <c r="D1" s="2"/>
    </row>
    <row r="3" customFormat="false" ht="15" hidden="false" customHeight="true" outlineLevel="0" collapsed="false">
      <c r="A3" s="3" t="s">
        <v>75</v>
      </c>
      <c r="B3" s="3"/>
      <c r="C3" s="3"/>
      <c r="D3" s="3"/>
    </row>
    <row r="5" customFormat="false" ht="25.5" hidden="false" customHeight="true" outlineLevel="0" collapsed="false">
      <c r="A5" s="4" t="s">
        <v>76</v>
      </c>
      <c r="B5" s="4" t="s">
        <v>77</v>
      </c>
      <c r="C5" s="4" t="s">
        <v>24</v>
      </c>
    </row>
    <row r="6" customFormat="false" ht="15" hidden="false" customHeight="true" outlineLevel="0" collapsed="false">
      <c r="A6" s="5" t="s">
        <v>78</v>
      </c>
      <c r="B6" s="22" t="n">
        <f aca="false">Продукти!C8</f>
        <v>2</v>
      </c>
      <c r="C6" s="5" t="s">
        <v>79</v>
      </c>
    </row>
    <row r="7" customFormat="false" ht="15" hidden="false" customHeight="true" outlineLevel="0" collapsed="false">
      <c r="A7" s="5" t="s">
        <v>80</v>
      </c>
      <c r="B7" s="10" t="n">
        <v>5</v>
      </c>
      <c r="C7" s="5" t="s">
        <v>81</v>
      </c>
    </row>
    <row r="8" customFormat="false" ht="15" hidden="false" customHeight="true" outlineLevel="0" collapsed="false">
      <c r="A8" s="5" t="s">
        <v>82</v>
      </c>
      <c r="B8" s="22" t="n">
        <f aca="false">B6*B7</f>
        <v>10</v>
      </c>
      <c r="C8" s="5" t="s">
        <v>79</v>
      </c>
    </row>
    <row r="9" customFormat="false" ht="15" hidden="false" customHeight="true" outlineLevel="0" collapsed="false">
      <c r="A9" s="5" t="s">
        <v>83</v>
      </c>
      <c r="B9" s="7" t="n">
        <v>200</v>
      </c>
      <c r="C9" s="5" t="s">
        <v>79</v>
      </c>
    </row>
    <row r="11" customFormat="false" ht="15" hidden="false" customHeight="true" outlineLevel="0" collapsed="false">
      <c r="A11" s="23" t="s">
        <v>84</v>
      </c>
    </row>
    <row r="12" customFormat="false" ht="15" hidden="false" customHeight="true" outlineLevel="0" collapsed="false">
      <c r="A12" s="21" t="s">
        <v>85</v>
      </c>
      <c r="B12" s="21"/>
      <c r="C12" s="21"/>
      <c r="D12" s="21"/>
    </row>
    <row r="13" customFormat="false" ht="15" hidden="false" customHeight="true" outlineLevel="0" collapsed="false">
      <c r="A13" s="21" t="s">
        <v>86</v>
      </c>
      <c r="B13" s="21"/>
      <c r="C13" s="21"/>
      <c r="D13" s="21"/>
    </row>
    <row r="14" customFormat="false" ht="15" hidden="false" customHeight="true" outlineLevel="0" collapsed="false">
      <c r="A14" s="21" t="s">
        <v>87</v>
      </c>
      <c r="B14" s="21"/>
      <c r="C14" s="21"/>
      <c r="D14" s="21"/>
    </row>
    <row r="15" customFormat="false" ht="15" hidden="false" customHeight="true" outlineLevel="0" collapsed="false">
      <c r="A15" s="21" t="s">
        <v>88</v>
      </c>
      <c r="B15" s="21"/>
      <c r="C15" s="21"/>
      <c r="D15" s="21"/>
    </row>
    <row r="16" customFormat="false" ht="15" hidden="false" customHeight="true" outlineLevel="0" collapsed="false">
      <c r="A16" s="21" t="s">
        <v>89</v>
      </c>
      <c r="B16" s="21"/>
      <c r="C16" s="21"/>
      <c r="D16" s="21"/>
    </row>
    <row r="18" customFormat="false" ht="39.75" hidden="false" customHeight="true" outlineLevel="0" collapsed="false">
      <c r="A18" s="19" t="s">
        <v>90</v>
      </c>
      <c r="B18" s="19"/>
      <c r="C18" s="19"/>
      <c r="D18" s="19"/>
    </row>
  </sheetData>
  <mergeCells count="8">
    <mergeCell ref="A1:D1"/>
    <mergeCell ref="A3:D3"/>
    <mergeCell ref="A12:D12"/>
    <mergeCell ref="A13:D13"/>
    <mergeCell ref="A14:D14"/>
    <mergeCell ref="A15:D15"/>
    <mergeCell ref="A16:D16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6" min="4" style="1" width="16"/>
    <col collapsed="false" customWidth="true" hidden="false" outlineLevel="0" max="7" min="7" style="1" width="14"/>
    <col collapsed="false" customWidth="true" hidden="false" outlineLevel="0" max="8" min="8" style="1" width="26"/>
  </cols>
  <sheetData>
    <row r="1" customFormat="false" ht="25.5" hidden="false" customHeight="true" outlineLevel="0" collapsed="false">
      <c r="A1" s="2" t="s">
        <v>91</v>
      </c>
      <c r="B1" s="2"/>
      <c r="C1" s="2"/>
      <c r="D1" s="2"/>
      <c r="E1" s="2"/>
      <c r="F1" s="2"/>
      <c r="G1" s="2"/>
      <c r="H1" s="2"/>
    </row>
    <row r="2" customFormat="false" ht="31.5" hidden="false" customHeight="true" outlineLevel="0" collapsed="false">
      <c r="A2" s="3" t="s">
        <v>92</v>
      </c>
      <c r="B2" s="3"/>
      <c r="C2" s="3"/>
      <c r="D2" s="3"/>
      <c r="E2" s="3"/>
      <c r="F2" s="3"/>
      <c r="G2" s="3"/>
      <c r="H2" s="3"/>
    </row>
    <row r="4" customFormat="false" ht="45.75" hidden="false" customHeight="true" outlineLevel="0" collapsed="false">
      <c r="A4" s="4" t="s">
        <v>93</v>
      </c>
      <c r="B4" s="4" t="s">
        <v>94</v>
      </c>
      <c r="C4" s="4" t="s">
        <v>95</v>
      </c>
      <c r="D4" s="4" t="s">
        <v>96</v>
      </c>
      <c r="E4" s="4" t="s">
        <v>97</v>
      </c>
      <c r="F4" s="4" t="s">
        <v>98</v>
      </c>
      <c r="G4" s="4" t="s">
        <v>99</v>
      </c>
      <c r="H4" s="4" t="s">
        <v>100</v>
      </c>
    </row>
    <row r="5" customFormat="false" ht="26.25" hidden="false" customHeight="true" outlineLevel="0" collapsed="false">
      <c r="A5" s="17" t="s">
        <v>101</v>
      </c>
      <c r="B5" s="5" t="s">
        <v>102</v>
      </c>
      <c r="C5" s="5" t="s">
        <v>103</v>
      </c>
      <c r="D5" s="24"/>
      <c r="E5" s="24"/>
      <c r="F5" s="24"/>
      <c r="G5" s="24"/>
      <c r="H5" s="25"/>
    </row>
    <row r="6" customFormat="false" ht="15" hidden="false" customHeight="true" outlineLevel="0" collapsed="false">
      <c r="A6" s="17" t="s">
        <v>104</v>
      </c>
      <c r="B6" s="5" t="s">
        <v>105</v>
      </c>
      <c r="C6" s="5" t="s">
        <v>106</v>
      </c>
      <c r="D6" s="24"/>
      <c r="E6" s="24"/>
      <c r="F6" s="24"/>
      <c r="G6" s="24"/>
      <c r="H6" s="25"/>
    </row>
    <row r="7" customFormat="false" ht="26.25" hidden="false" customHeight="true" outlineLevel="0" collapsed="false">
      <c r="A7" s="17" t="s">
        <v>107</v>
      </c>
      <c r="B7" s="5" t="s">
        <v>108</v>
      </c>
      <c r="C7" s="5" t="s">
        <v>109</v>
      </c>
      <c r="D7" s="24"/>
      <c r="E7" s="24"/>
      <c r="F7" s="24"/>
      <c r="G7" s="24"/>
      <c r="H7" s="25"/>
    </row>
    <row r="8" customFormat="false" ht="26.25" hidden="false" customHeight="true" outlineLevel="0" collapsed="false">
      <c r="A8" s="17" t="s">
        <v>110</v>
      </c>
      <c r="B8" s="5" t="s">
        <v>111</v>
      </c>
      <c r="C8" s="5" t="s">
        <v>112</v>
      </c>
      <c r="D8" s="24"/>
      <c r="E8" s="24"/>
      <c r="F8" s="24"/>
      <c r="G8" s="24"/>
      <c r="H8" s="25"/>
    </row>
    <row r="9" customFormat="false" ht="26.25" hidden="false" customHeight="true" outlineLevel="0" collapsed="false">
      <c r="A9" s="17" t="s">
        <v>113</v>
      </c>
      <c r="B9" s="5" t="s">
        <v>114</v>
      </c>
      <c r="C9" s="5" t="s">
        <v>115</v>
      </c>
      <c r="D9" s="24"/>
      <c r="E9" s="24"/>
      <c r="F9" s="24"/>
      <c r="G9" s="24"/>
      <c r="H9" s="25"/>
    </row>
    <row r="11" customFormat="false" ht="15" hidden="false" customHeight="true" outlineLevel="0" collapsed="false">
      <c r="A11" s="16" t="s">
        <v>116</v>
      </c>
      <c r="B11" s="16"/>
      <c r="C11" s="16"/>
      <c r="D11" s="16"/>
      <c r="E11" s="16"/>
      <c r="F11" s="16"/>
      <c r="G11" s="16"/>
      <c r="H11" s="16"/>
    </row>
    <row r="12" customFormat="false" ht="21.75" hidden="false" customHeight="true" outlineLevel="0" collapsed="false">
      <c r="A12" s="21" t="s">
        <v>117</v>
      </c>
      <c r="B12" s="21"/>
      <c r="C12" s="21"/>
      <c r="D12" s="21"/>
      <c r="E12" s="21"/>
      <c r="F12" s="21"/>
      <c r="G12" s="21"/>
      <c r="H12" s="21"/>
    </row>
    <row r="13" customFormat="false" ht="21.75" hidden="false" customHeight="true" outlineLevel="0" collapsed="false">
      <c r="A13" s="21" t="s">
        <v>118</v>
      </c>
      <c r="B13" s="21"/>
      <c r="C13" s="21"/>
      <c r="D13" s="21"/>
      <c r="E13" s="21"/>
      <c r="F13" s="21"/>
      <c r="G13" s="21"/>
      <c r="H13" s="21"/>
    </row>
    <row r="14" customFormat="false" ht="21.75" hidden="false" customHeight="true" outlineLevel="0" collapsed="false">
      <c r="A14" s="21" t="s">
        <v>119</v>
      </c>
      <c r="B14" s="21"/>
      <c r="C14" s="21"/>
      <c r="D14" s="21"/>
      <c r="E14" s="21"/>
      <c r="F14" s="21"/>
      <c r="G14" s="21"/>
      <c r="H14" s="21"/>
    </row>
    <row r="15" customFormat="false" ht="21.75" hidden="false" customHeight="true" outlineLevel="0" collapsed="false">
      <c r="A15" s="21" t="s">
        <v>120</v>
      </c>
      <c r="B15" s="21"/>
      <c r="C15" s="21"/>
      <c r="D15" s="21"/>
      <c r="E15" s="21"/>
      <c r="F15" s="21"/>
      <c r="G15" s="21"/>
      <c r="H15" s="21"/>
    </row>
    <row r="16" customFormat="false" ht="21.75" hidden="false" customHeight="true" outlineLevel="0" collapsed="false">
      <c r="A16" s="21" t="s">
        <v>121</v>
      </c>
      <c r="B16" s="21"/>
      <c r="C16" s="21"/>
      <c r="D16" s="21"/>
      <c r="E16" s="21"/>
      <c r="F16" s="21"/>
      <c r="G16" s="21"/>
      <c r="H16" s="21"/>
    </row>
  </sheetData>
  <mergeCells count="8">
    <mergeCell ref="A1:H1"/>
    <mergeCell ref="A2:H2"/>
    <mergeCell ref="A11:H11"/>
    <mergeCell ref="A12:H12"/>
    <mergeCell ref="A13:H13"/>
    <mergeCell ref="A14:H14"/>
    <mergeCell ref="A15:H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2026-04-20T15:11:14Z</dcterms:created>
  <dc:creator>openpyxl</dc:creator>
  <dc:description/>
  <dc:language>en-US</dc:language>
  <cp:lastModifiedBy/>
  <dcterms:modified xsi:type="dcterms:W3CDTF">2026-04-22T04:36:20Z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