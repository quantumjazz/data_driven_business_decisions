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/>
  <mc:AlternateContent xmlns:mc="http://schemas.openxmlformats.org/markup-compatibility/2006">
    <mc:Choice Requires="x15">
      <x15ac:absPath xmlns:x15ac="http://schemas.microsoft.com/office/spreadsheetml/2010/11/ac" url="/Users/victor/Documents/Courses/Data Driven Business Decisions/lecture-01/"/>
    </mc:Choice>
  </mc:AlternateContent>
  <xr:revisionPtr revIDLastSave="0" documentId="13_ncr:1_{F1C5F4EA-23D9-9743-BA37-3EEE9BAD7990}" xr6:coauthVersionLast="47" xr6:coauthVersionMax="47" xr10:uidLastSave="{00000000-0000-0000-0000-000000000000}"/>
  <bookViews>
    <workbookView xWindow="0" yWindow="780" windowWidth="36000" windowHeight="21520" tabRatio="500" activeTab="1" xr2:uid="{00000000-000D-0000-FFFF-FFFF00000000}"/>
  </bookViews>
  <sheets>
    <sheet name="Продажби по часове" sheetId="1" r:id="rId1"/>
    <sheet name="Отзиви на клиенти" sheetId="2" r:id="rId2"/>
    <sheet name="График на персонала" sheetId="3" r:id="rId3"/>
    <sheet name="Анализ и решение" sheetId="4" r:id="rId4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13" i="4" l="1"/>
  <c r="D12" i="4"/>
  <c r="B20" i="2"/>
  <c r="B21" i="2" s="1"/>
  <c r="B19" i="2"/>
  <c r="D13" i="1"/>
  <c r="F13" i="1" s="1"/>
  <c r="C13" i="1"/>
  <c r="B13" i="1"/>
  <c r="E13" i="1" s="1"/>
  <c r="F12" i="1"/>
  <c r="E12" i="1"/>
  <c r="F11" i="1"/>
  <c r="E11" i="1"/>
  <c r="F10" i="1"/>
  <c r="E10" i="1"/>
  <c r="F9" i="1"/>
  <c r="E9" i="1"/>
  <c r="F8" i="1"/>
  <c r="E8" i="1"/>
  <c r="F7" i="1"/>
  <c r="E7" i="1"/>
  <c r="F6" i="1"/>
  <c r="E6" i="1"/>
  <c r="F5" i="1"/>
  <c r="E5" i="1"/>
  <c r="F4" i="1"/>
  <c r="E4" i="1"/>
  <c r="F3" i="1"/>
  <c r="E3" i="1"/>
  <c r="F2" i="1"/>
  <c r="E2" i="1"/>
</calcChain>
</file>

<file path=xl/sharedStrings.xml><?xml version="1.0" encoding="utf-8"?>
<sst xmlns="http://schemas.openxmlformats.org/spreadsheetml/2006/main" count="116" uniqueCount="103">
  <si>
    <t>Час</t>
  </si>
  <si>
    <t>Окт</t>
  </si>
  <si>
    <t>Ное</t>
  </si>
  <si>
    <t>Дек</t>
  </si>
  <si>
    <t>Средно</t>
  </si>
  <si>
    <t>Промяна Окт→Дек</t>
  </si>
  <si>
    <t>07:00–08:00</t>
  </si>
  <si>
    <t>08:00–09:00</t>
  </si>
  <si>
    <t>09:00–10:00</t>
  </si>
  <si>
    <t>10:00–11:00</t>
  </si>
  <si>
    <t>11:00–12:00</t>
  </si>
  <si>
    <t>12:00–13:00</t>
  </si>
  <si>
    <t>13:00–14:00</t>
  </si>
  <si>
    <t>14:00–15:00</t>
  </si>
  <si>
    <t>15:00–16:00</t>
  </si>
  <si>
    <t>16:00–17:00</t>
  </si>
  <si>
    <t>17:00–18:00</t>
  </si>
  <si>
    <t>ОБЩО</t>
  </si>
  <si>
    <t>Дата</t>
  </si>
  <si>
    <t>Оценка (1–5)</t>
  </si>
  <si>
    <t>Категория</t>
  </si>
  <si>
    <t>Коментар</t>
  </si>
  <si>
    <t>2024-10-05</t>
  </si>
  <si>
    <t>Чакане</t>
  </si>
  <si>
    <t>Чаках 15 минути за кафе сутринта</t>
  </si>
  <si>
    <t>2024-10-12</t>
  </si>
  <si>
    <t>Опашката беше до вратата в 8 часа</t>
  </si>
  <si>
    <t>2024-10-18</t>
  </si>
  <si>
    <t>Дълго чакане, но кафето е хубаво</t>
  </si>
  <si>
    <t>2024-10-25</t>
  </si>
  <si>
    <t>Качество</t>
  </si>
  <si>
    <t>Страхотно лате, но сутрин е бавно</t>
  </si>
  <si>
    <t>2024-11-02</t>
  </si>
  <si>
    <t>Пак 10 минути чакане в 7:30</t>
  </si>
  <si>
    <t>2024-11-08</t>
  </si>
  <si>
    <t>Следобедното обслужване е отлично</t>
  </si>
  <si>
    <t>2024-11-15</t>
  </si>
  <si>
    <t>Само един барист сутринта?! Абсурд</t>
  </si>
  <si>
    <t>2024-11-20</t>
  </si>
  <si>
    <t>Закъснях за работа заради опашката</t>
  </si>
  <si>
    <t>2024-11-28</t>
  </si>
  <si>
    <t>Атмосфера</t>
  </si>
  <si>
    <t>Уютно е, но сутрин е хаос</t>
  </si>
  <si>
    <t>2024-12-03</t>
  </si>
  <si>
    <t>Вече не идвам сутрин. Ходя при конкурента</t>
  </si>
  <si>
    <t>2024-12-10</t>
  </si>
  <si>
    <t>Кафето е добро, но не си заслужава чакането</t>
  </si>
  <si>
    <t>2024-12-15</t>
  </si>
  <si>
    <t>12 минути за едно еспресо сутринта</t>
  </si>
  <si>
    <t>2024-12-18</t>
  </si>
  <si>
    <t>След обяд — бързо и вкусно</t>
  </si>
  <si>
    <t>2024-12-22</t>
  </si>
  <si>
    <t>Спрях да идвам. Жалко.</t>
  </si>
  <si>
    <t>2024-12-28</t>
  </si>
  <si>
    <t>Вечер е прекрасно, сутрин — не</t>
  </si>
  <si>
    <t>Обобщение</t>
  </si>
  <si>
    <t>Средна оценка:</t>
  </si>
  <si>
    <t>Отзиви "Чакане":</t>
  </si>
  <si>
    <t>% от всички:</t>
  </si>
  <si>
    <t>Понеделник</t>
  </si>
  <si>
    <t>Вторник</t>
  </si>
  <si>
    <t>Сряда</t>
  </si>
  <si>
    <t>Четвъртък</t>
  </si>
  <si>
    <t>Петък</t>
  </si>
  <si>
    <t>Събота</t>
  </si>
  <si>
    <t>Неделя</t>
  </si>
  <si>
    <t>07:00–09:00</t>
  </si>
  <si>
    <t>09:00–12:00</t>
  </si>
  <si>
    <t>12:00–15:00</t>
  </si>
  <si>
    <t>15:00–18:00</t>
  </si>
  <si>
    <t>Проблем:</t>
  </si>
  <si>
    <t>Само 1 барист обслужва в пиковите сутрешни часове (07–09 ч.)</t>
  </si>
  <si>
    <t>Анализ на проблема: Спад в приходите</t>
  </si>
  <si>
    <t>Стъпка</t>
  </si>
  <si>
    <t>Какво правим</t>
  </si>
  <si>
    <t>Инструмент</t>
  </si>
  <si>
    <t>Резултат</t>
  </si>
  <si>
    <t>1. Събиране</t>
  </si>
  <si>
    <t>Данни от касовия апарат за 3 месеца</t>
  </si>
  <si>
    <t>Excel (import)</t>
  </si>
  <si>
    <t>Виж лист 'Продажби по часове'</t>
  </si>
  <si>
    <t>2. Организиране</t>
  </si>
  <si>
    <t>Групиране по часове и месеци</t>
  </si>
  <si>
    <t>Excel (pivot)</t>
  </si>
  <si>
    <t>Виж колони Окт/Ное/Дек</t>
  </si>
  <si>
    <t>3. Анализ</t>
  </si>
  <si>
    <t>Сравняваме часовите зони</t>
  </si>
  <si>
    <t>Excel (формули)</t>
  </si>
  <si>
    <t>Спад от 38% в 07–08 ч., 44% в 08–09 ч.</t>
  </si>
  <si>
    <t>4. Кръстосан анализ</t>
  </si>
  <si>
    <t>Проверяваме отзивите + графика</t>
  </si>
  <si>
    <t>Excel (COUNTIF)</t>
  </si>
  <si>
    <t>60% от оплакванията са за чакане; 1 барист сутрин</t>
  </si>
  <si>
    <t>5. Решение</t>
  </si>
  <si>
    <t>Добавяме 2-ри барист 07–09 ч.</t>
  </si>
  <si>
    <t>Презентация</t>
  </si>
  <si>
    <t>Очакван ефект: +30% сутрешни продажби</t>
  </si>
  <si>
    <t>Разход-полза анализ</t>
  </si>
  <si>
    <t>Допълнителен барист (2 ч./ден × 22 дни × 10 лв./ч.)</t>
  </si>
  <si>
    <t>Разход:</t>
  </si>
  <si>
    <t>Приход:</t>
  </si>
  <si>
    <t>Нетна полза:</t>
  </si>
  <si>
    <t>Средна поръчка 5 евро × 30 допълн. клиенти/ден × 22 дни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</si>
</sst>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%"/>
    <numFmt numFmtId="165" formatCode="0.0"/>
    <numFmt numFmtId="167" formatCode="#,##0&quot; евро&quot;"/>
  </numFmts>
  <fonts count="10" x14ac:knownFonts="1">
    <font>
      <sz val="11"/>
      <color theme="1"/>
      <name val="Calibri"/>
      <family val="2"/>
      <charset val="1"/>
    </font>
    <font>
      <b/>
      <sz val="11"/>
      <color rgb="FFFFFFFF"/>
      <name val="Arial"/>
      <charset val="1"/>
    </font>
    <font>
      <sz val="11"/>
      <name val="Arial"/>
      <charset val="1"/>
    </font>
    <font>
      <b/>
      <sz val="11"/>
      <name val="Arial"/>
      <charset val="1"/>
    </font>
    <font>
      <b/>
      <sz val="11"/>
      <color rgb="FFFF0000"/>
      <name val="Arial"/>
      <charset val="1"/>
    </font>
    <font>
      <b/>
      <sz val="14"/>
      <color rgb="FF1A1A2E"/>
      <name val="Arial"/>
      <charset val="1"/>
    </font>
    <font>
      <b/>
      <sz val="12"/>
      <color rgb="FF1A1A2E"/>
      <name val="Arial"/>
      <charset val="1"/>
    </font>
    <font>
      <sz val="11"/>
      <color rgb="FF0000FF"/>
      <name val="Arial"/>
      <charset val="1"/>
    </font>
    <font>
      <b/>
      <sz val="12"/>
      <color rgb="FF008000"/>
      <name val="Arial"/>
      <charset val="1"/>
    </font>
    <font>
      <sz val="1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A1A2E"/>
        <bgColor rgb="FF333300"/>
      </patternFill>
    </fill>
    <fill>
      <patternFill patternType="solid">
        <fgColor rgb="FFFFF7ED"/>
        <bgColor rgb="FFF9F9F9"/>
      </patternFill>
    </fill>
    <fill>
      <patternFill patternType="solid">
        <fgColor rgb="FFFFCCCC"/>
        <bgColor rgb="FFD9D9D9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6" fillId="0" borderId="0" xfId="0" applyFont="1"/>
    <xf numFmtId="0" fontId="5" fillId="0" borderId="0" xfId="0" applyFont="1"/>
    <xf numFmtId="0" fontId="2" fillId="0" borderId="0" xfId="0" applyFont="1"/>
    <xf numFmtId="0" fontId="1" fillId="2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164" fontId="2" fillId="3" borderId="1" xfId="0" applyNumberFormat="1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164" fontId="2" fillId="0" borderId="1" xfId="0" applyNumberFormat="1" applyFont="1" applyBorder="1" applyAlignment="1">
      <alignment horizontal="center"/>
    </xf>
    <xf numFmtId="164" fontId="3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left"/>
    </xf>
    <xf numFmtId="0" fontId="3" fillId="0" borderId="0" xfId="0" applyFont="1"/>
    <xf numFmtId="0" fontId="2" fillId="0" borderId="0" xfId="0" applyFont="1"/>
    <xf numFmtId="165" fontId="3" fillId="0" borderId="0" xfId="0" applyNumberFormat="1" applyFont="1"/>
    <xf numFmtId="9" fontId="3" fillId="0" borderId="0" xfId="0" applyNumberFormat="1" applyFont="1"/>
    <xf numFmtId="0" fontId="2" fillId="0" borderId="1" xfId="0" applyFont="1" applyBorder="1"/>
    <xf numFmtId="0" fontId="2" fillId="4" borderId="1" xfId="0" applyFont="1" applyFill="1" applyBorder="1" applyAlignment="1">
      <alignment horizontal="center"/>
    </xf>
    <xf numFmtId="0" fontId="4" fillId="0" borderId="0" xfId="0" applyFont="1"/>
    <xf numFmtId="0" fontId="3" fillId="0" borderId="1" xfId="0" applyFont="1" applyBorder="1"/>
    <xf numFmtId="0" fontId="9" fillId="0" borderId="0" xfId="0" applyFont="1"/>
    <xf numFmtId="167" fontId="7" fillId="0" borderId="0" xfId="0" applyNumberFormat="1" applyFont="1"/>
    <xf numFmtId="167" fontId="3" fillId="0" borderId="0" xfId="0" applyNumberFormat="1" applyFont="1"/>
    <xf numFmtId="167" fontId="8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78787"/>
      <rgbColor rgb="FF9999FF"/>
      <rgbColor rgb="FFC0504D"/>
      <rgbColor rgb="FFFFF7ED"/>
      <rgbColor rgb="FFF9F9F9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CC"/>
      <rgbColor rgb="FF3366FF"/>
      <rgbColor rgb="FF33CCCC"/>
      <rgbColor rgb="FF9BBB59"/>
      <rgbColor rgb="FFFFCC00"/>
      <rgbColor rgb="FFFF9900"/>
      <rgbColor rgb="FFFF6600"/>
      <rgbColor rgb="FF4F81BD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A1A2E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bg-BG" sz="1800" b="1" u="none" strike="noStrike">
                <a:solidFill>
                  <a:srgbClr val="000000"/>
                </a:solidFill>
                <a:uFillTx/>
                <a:latin typeface="Calibri"/>
              </a:rPr>
              <a:t>Продажби по часове (брой поръчки)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'Продажби по часове'!$B$1</c:f>
              <c:strCache>
                <c:ptCount val="1"/>
                <c:pt idx="0">
                  <c:v>Окт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en-BG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0">
                      <a:solidFill>
                        <a:srgbClr val="F9F9F9"/>
                      </a:solidFill>
                    </a:ln>
                  </c:spPr>
                </c15:leaderLines>
              </c:ext>
            </c:extLst>
          </c:dLbls>
          <c:cat>
            <c:strRef>
              <c:f>'Продажби по часове'!$A$2:$A$12</c:f>
              <c:strCache>
                <c:ptCount val="11"/>
                <c:pt idx="0">
                  <c:v>07:00–08:00</c:v>
                </c:pt>
                <c:pt idx="1">
                  <c:v>08:00–09:00</c:v>
                </c:pt>
                <c:pt idx="2">
                  <c:v>09:00–10:00</c:v>
                </c:pt>
                <c:pt idx="3">
                  <c:v>10:00–11:00</c:v>
                </c:pt>
                <c:pt idx="4">
                  <c:v>11:00–12:00</c:v>
                </c:pt>
                <c:pt idx="5">
                  <c:v>12:00–13:00</c:v>
                </c:pt>
                <c:pt idx="6">
                  <c:v>13:00–14:00</c:v>
                </c:pt>
                <c:pt idx="7">
                  <c:v>14:00–15:00</c:v>
                </c:pt>
                <c:pt idx="8">
                  <c:v>15:00–16:00</c:v>
                </c:pt>
                <c:pt idx="9">
                  <c:v>16:00–17:00</c:v>
                </c:pt>
                <c:pt idx="10">
                  <c:v>17:00–18:00</c:v>
                </c:pt>
              </c:strCache>
            </c:strRef>
          </c:cat>
          <c:val>
            <c:numRef>
              <c:f>'Продажби по часове'!$B$2:$B$12</c:f>
              <c:numCache>
                <c:formatCode>General</c:formatCode>
                <c:ptCount val="11"/>
                <c:pt idx="0">
                  <c:v>45</c:v>
                </c:pt>
                <c:pt idx="1">
                  <c:v>62</c:v>
                </c:pt>
                <c:pt idx="2">
                  <c:v>40</c:v>
                </c:pt>
                <c:pt idx="3">
                  <c:v>35</c:v>
                </c:pt>
                <c:pt idx="4">
                  <c:v>30</c:v>
                </c:pt>
                <c:pt idx="5">
                  <c:v>48</c:v>
                </c:pt>
                <c:pt idx="6">
                  <c:v>52</c:v>
                </c:pt>
                <c:pt idx="7">
                  <c:v>38</c:v>
                </c:pt>
                <c:pt idx="8">
                  <c:v>30</c:v>
                </c:pt>
                <c:pt idx="9">
                  <c:v>25</c:v>
                </c:pt>
                <c:pt idx="10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86-DB42-B07A-02C7541025CF}"/>
            </c:ext>
          </c:extLst>
        </c:ser>
        <c:ser>
          <c:idx val="1"/>
          <c:order val="1"/>
          <c:tx>
            <c:strRef>
              <c:f>'Продажби по часове'!$C$1</c:f>
              <c:strCache>
                <c:ptCount val="1"/>
                <c:pt idx="0">
                  <c:v>Ное</c:v>
                </c:pt>
              </c:strCache>
            </c:strRef>
          </c:tx>
          <c:spPr>
            <a:solidFill>
              <a:srgbClr val="C0504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en-BG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0">
                      <a:solidFill>
                        <a:srgbClr val="F9F9F9"/>
                      </a:solidFill>
                    </a:ln>
                  </c:spPr>
                </c15:leaderLines>
              </c:ext>
            </c:extLst>
          </c:dLbls>
          <c:cat>
            <c:strRef>
              <c:f>'Продажби по часове'!$A$2:$A$12</c:f>
              <c:strCache>
                <c:ptCount val="11"/>
                <c:pt idx="0">
                  <c:v>07:00–08:00</c:v>
                </c:pt>
                <c:pt idx="1">
                  <c:v>08:00–09:00</c:v>
                </c:pt>
                <c:pt idx="2">
                  <c:v>09:00–10:00</c:v>
                </c:pt>
                <c:pt idx="3">
                  <c:v>10:00–11:00</c:v>
                </c:pt>
                <c:pt idx="4">
                  <c:v>11:00–12:00</c:v>
                </c:pt>
                <c:pt idx="5">
                  <c:v>12:00–13:00</c:v>
                </c:pt>
                <c:pt idx="6">
                  <c:v>13:00–14:00</c:v>
                </c:pt>
                <c:pt idx="7">
                  <c:v>14:00–15:00</c:v>
                </c:pt>
                <c:pt idx="8">
                  <c:v>15:00–16:00</c:v>
                </c:pt>
                <c:pt idx="9">
                  <c:v>16:00–17:00</c:v>
                </c:pt>
                <c:pt idx="10">
                  <c:v>17:00–18:00</c:v>
                </c:pt>
              </c:strCache>
            </c:strRef>
          </c:cat>
          <c:val>
            <c:numRef>
              <c:f>'Продажби по часове'!$C$2:$C$12</c:f>
              <c:numCache>
                <c:formatCode>General</c:formatCode>
                <c:ptCount val="11"/>
                <c:pt idx="0">
                  <c:v>38</c:v>
                </c:pt>
                <c:pt idx="1">
                  <c:v>51</c:v>
                </c:pt>
                <c:pt idx="2">
                  <c:v>38</c:v>
                </c:pt>
                <c:pt idx="3">
                  <c:v>34</c:v>
                </c:pt>
                <c:pt idx="4">
                  <c:v>29</c:v>
                </c:pt>
                <c:pt idx="5">
                  <c:v>47</c:v>
                </c:pt>
                <c:pt idx="6">
                  <c:v>50</c:v>
                </c:pt>
                <c:pt idx="7">
                  <c:v>37</c:v>
                </c:pt>
                <c:pt idx="8">
                  <c:v>30</c:v>
                </c:pt>
                <c:pt idx="9">
                  <c:v>25</c:v>
                </c:pt>
                <c:pt idx="10">
                  <c:v>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86-DB42-B07A-02C7541025CF}"/>
            </c:ext>
          </c:extLst>
        </c:ser>
        <c:ser>
          <c:idx val="2"/>
          <c:order val="2"/>
          <c:tx>
            <c:strRef>
              <c:f>'Продажби по часове'!$D$1</c:f>
              <c:strCache>
                <c:ptCount val="1"/>
                <c:pt idx="0">
                  <c:v>Дек</c:v>
                </c:pt>
              </c:strCache>
            </c:strRef>
          </c:tx>
          <c:spPr>
            <a:solidFill>
              <a:srgbClr val="9BBB59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en-BG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0">
                      <a:solidFill>
                        <a:srgbClr val="F9F9F9"/>
                      </a:solidFill>
                    </a:ln>
                  </c:spPr>
                </c15:leaderLines>
              </c:ext>
            </c:extLst>
          </c:dLbls>
          <c:cat>
            <c:strRef>
              <c:f>'Продажби по часове'!$A$2:$A$12</c:f>
              <c:strCache>
                <c:ptCount val="11"/>
                <c:pt idx="0">
                  <c:v>07:00–08:00</c:v>
                </c:pt>
                <c:pt idx="1">
                  <c:v>08:00–09:00</c:v>
                </c:pt>
                <c:pt idx="2">
                  <c:v>09:00–10:00</c:v>
                </c:pt>
                <c:pt idx="3">
                  <c:v>10:00–11:00</c:v>
                </c:pt>
                <c:pt idx="4">
                  <c:v>11:00–12:00</c:v>
                </c:pt>
                <c:pt idx="5">
                  <c:v>12:00–13:00</c:v>
                </c:pt>
                <c:pt idx="6">
                  <c:v>13:00–14:00</c:v>
                </c:pt>
                <c:pt idx="7">
                  <c:v>14:00–15:00</c:v>
                </c:pt>
                <c:pt idx="8">
                  <c:v>15:00–16:00</c:v>
                </c:pt>
                <c:pt idx="9">
                  <c:v>16:00–17:00</c:v>
                </c:pt>
                <c:pt idx="10">
                  <c:v>17:00–18:00</c:v>
                </c:pt>
              </c:strCache>
            </c:strRef>
          </c:cat>
          <c:val>
            <c:numRef>
              <c:f>'Продажби по часове'!$D$2:$D$12</c:f>
              <c:numCache>
                <c:formatCode>General</c:formatCode>
                <c:ptCount val="11"/>
                <c:pt idx="0">
                  <c:v>28</c:v>
                </c:pt>
                <c:pt idx="1">
                  <c:v>35</c:v>
                </c:pt>
                <c:pt idx="2">
                  <c:v>36</c:v>
                </c:pt>
                <c:pt idx="3">
                  <c:v>33</c:v>
                </c:pt>
                <c:pt idx="4">
                  <c:v>28</c:v>
                </c:pt>
                <c:pt idx="5">
                  <c:v>46</c:v>
                </c:pt>
                <c:pt idx="6">
                  <c:v>49</c:v>
                </c:pt>
                <c:pt idx="7">
                  <c:v>37</c:v>
                </c:pt>
                <c:pt idx="8">
                  <c:v>29</c:v>
                </c:pt>
                <c:pt idx="9">
                  <c:v>24</c:v>
                </c:pt>
                <c:pt idx="10">
                  <c:v>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86-DB42-B07A-02C7541025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667704"/>
        <c:axId val="72217068"/>
      </c:barChart>
      <c:catAx>
        <c:axId val="10667704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bg-BG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Час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BG"/>
          </a:p>
        </c:txPr>
        <c:crossAx val="72217068"/>
        <c:crosses val="autoZero"/>
        <c:auto val="1"/>
        <c:lblAlgn val="ctr"/>
        <c:lblOffset val="100"/>
        <c:noMultiLvlLbl val="0"/>
      </c:catAx>
      <c:valAx>
        <c:axId val="7221706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bg-BG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Брой поръчки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BG"/>
          </a:p>
        </c:txPr>
        <c:crossAx val="10667704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  <a:endParaRPr lang="en-BG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15</xdr:row>
      <xdr:rowOff>0</xdr:rowOff>
    </xdr:from>
    <xdr:to>
      <xdr:col>9</xdr:col>
      <xdr:colOff>23400</xdr:colOff>
      <xdr:row>37</xdr:row>
      <xdr:rowOff>128880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3"/>
  <sheetViews>
    <sheetView zoomScaleNormal="100" workbookViewId="0"/>
  </sheetViews>
  <sheetFormatPr baseColWidth="10" defaultColWidth="8.6640625" defaultRowHeight="15" customHeight="1" x14ac:dyDescent="0.2"/>
  <cols>
    <col min="1" max="1" width="16" customWidth="1"/>
    <col min="2" max="6" width="14" customWidth="1"/>
  </cols>
  <sheetData>
    <row r="1" spans="1:6" x14ac:dyDescent="0.2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</row>
    <row r="2" spans="1:6" x14ac:dyDescent="0.2">
      <c r="A2" s="5" t="s">
        <v>6</v>
      </c>
      <c r="B2" s="5">
        <v>45</v>
      </c>
      <c r="C2" s="5">
        <v>38</v>
      </c>
      <c r="D2" s="5">
        <v>28</v>
      </c>
      <c r="E2" s="6">
        <f t="shared" ref="E2:E13" si="0">AVERAGE(B2:D2)</f>
        <v>37</v>
      </c>
      <c r="F2" s="7">
        <f t="shared" ref="F2:F13" si="1">(D2-B2)/B2</f>
        <v>-0.37777777777777777</v>
      </c>
    </row>
    <row r="3" spans="1:6" x14ac:dyDescent="0.2">
      <c r="A3" s="5" t="s">
        <v>7</v>
      </c>
      <c r="B3" s="5">
        <v>62</v>
      </c>
      <c r="C3" s="5">
        <v>51</v>
      </c>
      <c r="D3" s="5">
        <v>35</v>
      </c>
      <c r="E3" s="6">
        <f t="shared" si="0"/>
        <v>49.333333333333336</v>
      </c>
      <c r="F3" s="7">
        <f t="shared" si="1"/>
        <v>-0.43548387096774194</v>
      </c>
    </row>
    <row r="4" spans="1:6" x14ac:dyDescent="0.2">
      <c r="A4" s="8" t="s">
        <v>8</v>
      </c>
      <c r="B4" s="8">
        <v>40</v>
      </c>
      <c r="C4" s="8">
        <v>38</v>
      </c>
      <c r="D4" s="8">
        <v>36</v>
      </c>
      <c r="E4" s="9">
        <f t="shared" si="0"/>
        <v>38</v>
      </c>
      <c r="F4" s="10">
        <f t="shared" si="1"/>
        <v>-0.1</v>
      </c>
    </row>
    <row r="5" spans="1:6" x14ac:dyDescent="0.2">
      <c r="A5" s="8" t="s">
        <v>9</v>
      </c>
      <c r="B5" s="8">
        <v>35</v>
      </c>
      <c r="C5" s="8">
        <v>34</v>
      </c>
      <c r="D5" s="8">
        <v>33</v>
      </c>
      <c r="E5" s="9">
        <f t="shared" si="0"/>
        <v>34</v>
      </c>
      <c r="F5" s="10">
        <f t="shared" si="1"/>
        <v>-5.7142857142857141E-2</v>
      </c>
    </row>
    <row r="6" spans="1:6" x14ac:dyDescent="0.2">
      <c r="A6" s="8" t="s">
        <v>10</v>
      </c>
      <c r="B6" s="8">
        <v>30</v>
      </c>
      <c r="C6" s="8">
        <v>29</v>
      </c>
      <c r="D6" s="8">
        <v>28</v>
      </c>
      <c r="E6" s="9">
        <f t="shared" si="0"/>
        <v>29</v>
      </c>
      <c r="F6" s="10">
        <f t="shared" si="1"/>
        <v>-6.6666666666666666E-2</v>
      </c>
    </row>
    <row r="7" spans="1:6" x14ac:dyDescent="0.2">
      <c r="A7" s="8" t="s">
        <v>11</v>
      </c>
      <c r="B7" s="8">
        <v>48</v>
      </c>
      <c r="C7" s="8">
        <v>47</v>
      </c>
      <c r="D7" s="8">
        <v>46</v>
      </c>
      <c r="E7" s="9">
        <f t="shared" si="0"/>
        <v>47</v>
      </c>
      <c r="F7" s="10">
        <f t="shared" si="1"/>
        <v>-4.1666666666666664E-2</v>
      </c>
    </row>
    <row r="8" spans="1:6" x14ac:dyDescent="0.2">
      <c r="A8" s="8" t="s">
        <v>12</v>
      </c>
      <c r="B8" s="8">
        <v>52</v>
      </c>
      <c r="C8" s="8">
        <v>50</v>
      </c>
      <c r="D8" s="8">
        <v>49</v>
      </c>
      <c r="E8" s="9">
        <f t="shared" si="0"/>
        <v>50.333333333333336</v>
      </c>
      <c r="F8" s="10">
        <f t="shared" si="1"/>
        <v>-5.7692307692307696E-2</v>
      </c>
    </row>
    <row r="9" spans="1:6" x14ac:dyDescent="0.2">
      <c r="A9" s="8" t="s">
        <v>13</v>
      </c>
      <c r="B9" s="8">
        <v>38</v>
      </c>
      <c r="C9" s="8">
        <v>37</v>
      </c>
      <c r="D9" s="8">
        <v>37</v>
      </c>
      <c r="E9" s="9">
        <f t="shared" si="0"/>
        <v>37.333333333333336</v>
      </c>
      <c r="F9" s="10">
        <f t="shared" si="1"/>
        <v>-2.6315789473684209E-2</v>
      </c>
    </row>
    <row r="10" spans="1:6" x14ac:dyDescent="0.2">
      <c r="A10" s="8" t="s">
        <v>14</v>
      </c>
      <c r="B10" s="8">
        <v>30</v>
      </c>
      <c r="C10" s="8">
        <v>30</v>
      </c>
      <c r="D10" s="8">
        <v>29</v>
      </c>
      <c r="E10" s="9">
        <f t="shared" si="0"/>
        <v>29.666666666666668</v>
      </c>
      <c r="F10" s="10">
        <f t="shared" si="1"/>
        <v>-3.3333333333333333E-2</v>
      </c>
    </row>
    <row r="11" spans="1:6" x14ac:dyDescent="0.2">
      <c r="A11" s="8" t="s">
        <v>15</v>
      </c>
      <c r="B11" s="8">
        <v>25</v>
      </c>
      <c r="C11" s="8">
        <v>25</v>
      </c>
      <c r="D11" s="8">
        <v>24</v>
      </c>
      <c r="E11" s="9">
        <f t="shared" si="0"/>
        <v>24.666666666666668</v>
      </c>
      <c r="F11" s="10">
        <f t="shared" si="1"/>
        <v>-0.04</v>
      </c>
    </row>
    <row r="12" spans="1:6" x14ac:dyDescent="0.2">
      <c r="A12" s="8" t="s">
        <v>16</v>
      </c>
      <c r="B12" s="8">
        <v>20</v>
      </c>
      <c r="C12" s="8">
        <v>19</v>
      </c>
      <c r="D12" s="8">
        <v>19</v>
      </c>
      <c r="E12" s="9">
        <f t="shared" si="0"/>
        <v>19.333333333333332</v>
      </c>
      <c r="F12" s="10">
        <f t="shared" si="1"/>
        <v>-0.05</v>
      </c>
    </row>
    <row r="13" spans="1:6" x14ac:dyDescent="0.2">
      <c r="A13" s="9" t="s">
        <v>17</v>
      </c>
      <c r="B13" s="9">
        <f>SUM(B2:B12)</f>
        <v>425</v>
      </c>
      <c r="C13" s="9">
        <f>SUM(C2:C12)</f>
        <v>398</v>
      </c>
      <c r="D13" s="9">
        <f>SUM(D2:D12)</f>
        <v>364</v>
      </c>
      <c r="E13" s="9">
        <f t="shared" si="0"/>
        <v>395.66666666666669</v>
      </c>
      <c r="F13" s="11">
        <f t="shared" si="1"/>
        <v>-0.14352941176470588</v>
      </c>
    </row>
  </sheetData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1"/>
  <sheetViews>
    <sheetView tabSelected="1" zoomScaleNormal="100" workbookViewId="0">
      <selection activeCell="K19" sqref="K19"/>
    </sheetView>
  </sheetViews>
  <sheetFormatPr baseColWidth="10" defaultColWidth="8.6640625" defaultRowHeight="15" customHeight="1" x14ac:dyDescent="0.2"/>
  <cols>
    <col min="1" max="2" width="16" customWidth="1"/>
    <col min="3" max="3" width="14" customWidth="1"/>
    <col min="4" max="4" width="52" customWidth="1"/>
  </cols>
  <sheetData>
    <row r="1" spans="1:4" x14ac:dyDescent="0.2">
      <c r="A1" s="4" t="s">
        <v>18</v>
      </c>
      <c r="B1" s="4" t="s">
        <v>19</v>
      </c>
      <c r="C1" s="4" t="s">
        <v>20</v>
      </c>
      <c r="D1" s="4" t="s">
        <v>21</v>
      </c>
    </row>
    <row r="2" spans="1:4" x14ac:dyDescent="0.2">
      <c r="A2" s="8" t="s">
        <v>22</v>
      </c>
      <c r="B2" s="8">
        <v>2</v>
      </c>
      <c r="C2" s="8" t="s">
        <v>23</v>
      </c>
      <c r="D2" s="12" t="s">
        <v>24</v>
      </c>
    </row>
    <row r="3" spans="1:4" x14ac:dyDescent="0.2">
      <c r="A3" s="8" t="s">
        <v>25</v>
      </c>
      <c r="B3" s="8">
        <v>1</v>
      </c>
      <c r="C3" s="8" t="s">
        <v>23</v>
      </c>
      <c r="D3" s="12" t="s">
        <v>26</v>
      </c>
    </row>
    <row r="4" spans="1:4" x14ac:dyDescent="0.2">
      <c r="A4" s="8" t="s">
        <v>27</v>
      </c>
      <c r="B4" s="8">
        <v>3</v>
      </c>
      <c r="C4" s="8" t="s">
        <v>23</v>
      </c>
      <c r="D4" s="12" t="s">
        <v>28</v>
      </c>
    </row>
    <row r="5" spans="1:4" x14ac:dyDescent="0.2">
      <c r="A5" s="8" t="s">
        <v>29</v>
      </c>
      <c r="B5" s="8">
        <v>4</v>
      </c>
      <c r="C5" s="8" t="s">
        <v>30</v>
      </c>
      <c r="D5" s="12" t="s">
        <v>31</v>
      </c>
    </row>
    <row r="6" spans="1:4" x14ac:dyDescent="0.2">
      <c r="A6" s="8" t="s">
        <v>32</v>
      </c>
      <c r="B6" s="8">
        <v>2</v>
      </c>
      <c r="C6" s="8" t="s">
        <v>23</v>
      </c>
      <c r="D6" s="12" t="s">
        <v>33</v>
      </c>
    </row>
    <row r="7" spans="1:4" x14ac:dyDescent="0.2">
      <c r="A7" s="8" t="s">
        <v>34</v>
      </c>
      <c r="B7" s="8">
        <v>5</v>
      </c>
      <c r="C7" s="8" t="s">
        <v>30</v>
      </c>
      <c r="D7" s="12" t="s">
        <v>35</v>
      </c>
    </row>
    <row r="8" spans="1:4" x14ac:dyDescent="0.2">
      <c r="A8" s="8" t="s">
        <v>36</v>
      </c>
      <c r="B8" s="8">
        <v>1</v>
      </c>
      <c r="C8" s="8" t="s">
        <v>23</v>
      </c>
      <c r="D8" s="12" t="s">
        <v>37</v>
      </c>
    </row>
    <row r="9" spans="1:4" x14ac:dyDescent="0.2">
      <c r="A9" s="8" t="s">
        <v>38</v>
      </c>
      <c r="B9" s="8">
        <v>2</v>
      </c>
      <c r="C9" s="8" t="s">
        <v>23</v>
      </c>
      <c r="D9" s="12" t="s">
        <v>39</v>
      </c>
    </row>
    <row r="10" spans="1:4" x14ac:dyDescent="0.2">
      <c r="A10" s="8" t="s">
        <v>40</v>
      </c>
      <c r="B10" s="8">
        <v>4</v>
      </c>
      <c r="C10" s="8" t="s">
        <v>41</v>
      </c>
      <c r="D10" s="12" t="s">
        <v>42</v>
      </c>
    </row>
    <row r="11" spans="1:4" x14ac:dyDescent="0.2">
      <c r="A11" s="8" t="s">
        <v>43</v>
      </c>
      <c r="B11" s="8">
        <v>1</v>
      </c>
      <c r="C11" s="8" t="s">
        <v>23</v>
      </c>
      <c r="D11" s="12" t="s">
        <v>44</v>
      </c>
    </row>
    <row r="12" spans="1:4" x14ac:dyDescent="0.2">
      <c r="A12" s="8" t="s">
        <v>45</v>
      </c>
      <c r="B12" s="8">
        <v>3</v>
      </c>
      <c r="C12" s="8" t="s">
        <v>30</v>
      </c>
      <c r="D12" s="12" t="s">
        <v>46</v>
      </c>
    </row>
    <row r="13" spans="1:4" x14ac:dyDescent="0.2">
      <c r="A13" s="8" t="s">
        <v>47</v>
      </c>
      <c r="B13" s="8">
        <v>2</v>
      </c>
      <c r="C13" s="8" t="s">
        <v>23</v>
      </c>
      <c r="D13" s="12" t="s">
        <v>48</v>
      </c>
    </row>
    <row r="14" spans="1:4" x14ac:dyDescent="0.2">
      <c r="A14" s="8" t="s">
        <v>49</v>
      </c>
      <c r="B14" s="8">
        <v>5</v>
      </c>
      <c r="C14" s="8" t="s">
        <v>30</v>
      </c>
      <c r="D14" s="12" t="s">
        <v>50</v>
      </c>
    </row>
    <row r="15" spans="1:4" x14ac:dyDescent="0.2">
      <c r="A15" s="8" t="s">
        <v>51</v>
      </c>
      <c r="B15" s="8">
        <v>1</v>
      </c>
      <c r="C15" s="8" t="s">
        <v>23</v>
      </c>
      <c r="D15" s="12" t="s">
        <v>52</v>
      </c>
    </row>
    <row r="16" spans="1:4" x14ac:dyDescent="0.2">
      <c r="A16" s="8" t="s">
        <v>53</v>
      </c>
      <c r="B16" s="8">
        <v>4</v>
      </c>
      <c r="C16" s="8" t="s">
        <v>41</v>
      </c>
      <c r="D16" s="12" t="s">
        <v>54</v>
      </c>
    </row>
    <row r="18" spans="1:2" x14ac:dyDescent="0.2">
      <c r="A18" s="13" t="s">
        <v>55</v>
      </c>
    </row>
    <row r="19" spans="1:2" x14ac:dyDescent="0.2">
      <c r="A19" s="14" t="s">
        <v>56</v>
      </c>
      <c r="B19" s="15">
        <f>AVERAGE(B2:B16)</f>
        <v>2.6666666666666665</v>
      </c>
    </row>
    <row r="20" spans="1:2" x14ac:dyDescent="0.2">
      <c r="A20" s="14" t="s">
        <v>57</v>
      </c>
      <c r="B20" s="13">
        <f>COUNTIF(C2:C16,"Чакане")</f>
        <v>9</v>
      </c>
    </row>
    <row r="21" spans="1:2" x14ac:dyDescent="0.2">
      <c r="A21" s="14" t="s">
        <v>58</v>
      </c>
      <c r="B21" s="16">
        <f>B20/COUNTA(C2:C16)</f>
        <v>0.6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7"/>
  <sheetViews>
    <sheetView zoomScaleNormal="100" workbookViewId="0"/>
  </sheetViews>
  <sheetFormatPr baseColWidth="10" defaultColWidth="8.6640625" defaultRowHeight="15" customHeight="1" x14ac:dyDescent="0.2"/>
  <cols>
    <col min="1" max="1" width="16" customWidth="1"/>
    <col min="2" max="8" width="14" customWidth="1"/>
  </cols>
  <sheetData>
    <row r="1" spans="1:8" x14ac:dyDescent="0.2">
      <c r="A1" s="4" t="s">
        <v>0</v>
      </c>
      <c r="B1" s="4" t="s">
        <v>59</v>
      </c>
      <c r="C1" s="4" t="s">
        <v>60</v>
      </c>
      <c r="D1" s="4" t="s">
        <v>61</v>
      </c>
      <c r="E1" s="4" t="s">
        <v>62</v>
      </c>
      <c r="F1" s="4" t="s">
        <v>63</v>
      </c>
      <c r="G1" s="4" t="s">
        <v>64</v>
      </c>
      <c r="H1" s="4" t="s">
        <v>65</v>
      </c>
    </row>
    <row r="2" spans="1:8" x14ac:dyDescent="0.2">
      <c r="A2" s="17" t="s">
        <v>66</v>
      </c>
      <c r="B2" s="18">
        <v>1</v>
      </c>
      <c r="C2" s="18">
        <v>1</v>
      </c>
      <c r="D2" s="18">
        <v>1</v>
      </c>
      <c r="E2" s="18">
        <v>1</v>
      </c>
      <c r="F2" s="18">
        <v>1</v>
      </c>
      <c r="G2" s="18">
        <v>1</v>
      </c>
      <c r="H2" s="18">
        <v>0</v>
      </c>
    </row>
    <row r="3" spans="1:8" x14ac:dyDescent="0.2">
      <c r="A3" s="17" t="s">
        <v>67</v>
      </c>
      <c r="B3" s="8">
        <v>2</v>
      </c>
      <c r="C3" s="8">
        <v>2</v>
      </c>
      <c r="D3" s="8">
        <v>2</v>
      </c>
      <c r="E3" s="8">
        <v>2</v>
      </c>
      <c r="F3" s="8">
        <v>2</v>
      </c>
      <c r="G3" s="8">
        <v>2</v>
      </c>
      <c r="H3" s="8">
        <v>1</v>
      </c>
    </row>
    <row r="4" spans="1:8" x14ac:dyDescent="0.2">
      <c r="A4" s="17" t="s">
        <v>68</v>
      </c>
      <c r="B4" s="8">
        <v>2</v>
      </c>
      <c r="C4" s="8">
        <v>2</v>
      </c>
      <c r="D4" s="8">
        <v>2</v>
      </c>
      <c r="E4" s="8">
        <v>2</v>
      </c>
      <c r="F4" s="8">
        <v>2</v>
      </c>
      <c r="G4" s="8">
        <v>2</v>
      </c>
      <c r="H4" s="8">
        <v>1</v>
      </c>
    </row>
    <row r="5" spans="1:8" x14ac:dyDescent="0.2">
      <c r="A5" s="17" t="s">
        <v>69</v>
      </c>
      <c r="B5" s="8">
        <v>1</v>
      </c>
      <c r="C5" s="8">
        <v>1</v>
      </c>
      <c r="D5" s="8">
        <v>1</v>
      </c>
      <c r="E5" s="8">
        <v>1</v>
      </c>
      <c r="F5" s="8">
        <v>2</v>
      </c>
      <c r="G5" s="8">
        <v>1</v>
      </c>
      <c r="H5" s="8">
        <v>0</v>
      </c>
    </row>
    <row r="7" spans="1:8" x14ac:dyDescent="0.2">
      <c r="A7" s="19" t="s">
        <v>70</v>
      </c>
      <c r="B7" s="3" t="s">
        <v>71</v>
      </c>
      <c r="C7" s="3"/>
      <c r="D7" s="3"/>
      <c r="E7" s="3"/>
      <c r="F7" s="3"/>
    </row>
  </sheetData>
  <mergeCells count="1">
    <mergeCell ref="B7:F7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3"/>
  <sheetViews>
    <sheetView zoomScaleNormal="100" workbookViewId="0">
      <selection activeCell="D19" sqref="D19"/>
    </sheetView>
  </sheetViews>
  <sheetFormatPr baseColWidth="10" defaultColWidth="8.6640625" defaultRowHeight="15" customHeight="1" x14ac:dyDescent="0.2"/>
  <cols>
    <col min="1" max="1" width="22" customWidth="1"/>
    <col min="2" max="2" width="40" customWidth="1"/>
    <col min="3" max="3" width="18" customWidth="1"/>
    <col min="4" max="4" width="50" customWidth="1"/>
  </cols>
  <sheetData>
    <row r="1" spans="1:4" ht="18" x14ac:dyDescent="0.2">
      <c r="A1" s="2" t="s">
        <v>72</v>
      </c>
      <c r="B1" s="2"/>
      <c r="C1" s="2"/>
      <c r="D1" s="2"/>
    </row>
    <row r="3" spans="1:4" x14ac:dyDescent="0.2">
      <c r="A3" s="4" t="s">
        <v>73</v>
      </c>
      <c r="B3" s="4" t="s">
        <v>74</v>
      </c>
      <c r="C3" s="4" t="s">
        <v>75</v>
      </c>
      <c r="D3" s="4" t="s">
        <v>76</v>
      </c>
    </row>
    <row r="4" spans="1:4" x14ac:dyDescent="0.2">
      <c r="A4" s="20" t="s">
        <v>77</v>
      </c>
      <c r="B4" s="17" t="s">
        <v>78</v>
      </c>
      <c r="C4" s="17" t="s">
        <v>79</v>
      </c>
      <c r="D4" s="17" t="s">
        <v>80</v>
      </c>
    </row>
    <row r="5" spans="1:4" x14ac:dyDescent="0.2">
      <c r="A5" s="20" t="s">
        <v>81</v>
      </c>
      <c r="B5" s="17" t="s">
        <v>82</v>
      </c>
      <c r="C5" s="17" t="s">
        <v>83</v>
      </c>
      <c r="D5" s="17" t="s">
        <v>84</v>
      </c>
    </row>
    <row r="6" spans="1:4" x14ac:dyDescent="0.2">
      <c r="A6" s="20" t="s">
        <v>85</v>
      </c>
      <c r="B6" s="17" t="s">
        <v>86</v>
      </c>
      <c r="C6" s="17" t="s">
        <v>87</v>
      </c>
      <c r="D6" s="17" t="s">
        <v>88</v>
      </c>
    </row>
    <row r="7" spans="1:4" x14ac:dyDescent="0.2">
      <c r="A7" s="20" t="s">
        <v>89</v>
      </c>
      <c r="B7" s="17" t="s">
        <v>90</v>
      </c>
      <c r="C7" s="17" t="s">
        <v>91</v>
      </c>
      <c r="D7" s="17" t="s">
        <v>92</v>
      </c>
    </row>
    <row r="8" spans="1:4" x14ac:dyDescent="0.2">
      <c r="A8" s="20" t="s">
        <v>93</v>
      </c>
      <c r="B8" s="17" t="s">
        <v>94</v>
      </c>
      <c r="C8" s="17" t="s">
        <v>95</v>
      </c>
      <c r="D8" s="17" t="s">
        <v>96</v>
      </c>
    </row>
    <row r="10" spans="1:4" ht="16" x14ac:dyDescent="0.2">
      <c r="A10" s="1" t="s">
        <v>97</v>
      </c>
      <c r="B10" s="1"/>
      <c r="C10" s="1"/>
      <c r="D10" s="1"/>
    </row>
    <row r="11" spans="1:4" x14ac:dyDescent="0.2">
      <c r="A11" s="14" t="s">
        <v>98</v>
      </c>
      <c r="C11" s="13" t="s">
        <v>99</v>
      </c>
      <c r="D11" s="22">
        <v>440</v>
      </c>
    </row>
    <row r="12" spans="1:4" x14ac:dyDescent="0.2">
      <c r="A12" s="21" t="s">
        <v>102</v>
      </c>
      <c r="C12" s="13" t="s">
        <v>100</v>
      </c>
      <c r="D12" s="23">
        <f>5*30*22</f>
        <v>3300</v>
      </c>
    </row>
    <row r="13" spans="1:4" ht="16" x14ac:dyDescent="0.2">
      <c r="C13" s="13" t="s">
        <v>101</v>
      </c>
      <c r="D13" s="24">
        <f>D12-D11</f>
        <v>2860</v>
      </c>
    </row>
  </sheetData>
  <mergeCells count="2">
    <mergeCell ref="A1:D1"/>
    <mergeCell ref="A10:D10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Продажби по часове</vt:lpstr>
      <vt:lpstr>Отзиви на клиенти</vt:lpstr>
      <vt:lpstr>График на персонала</vt:lpstr>
      <vt:lpstr>Анализ и решение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Victor Avramov</dc:creator>
  <cp:keywords/>
  <dc:description/>
  <cp:lastModifiedBy>Victor Avramov</cp:lastModifiedBy>
  <cp:revision>1</cp:revision>
  <dcterms:created xsi:type="dcterms:W3CDTF">2026-02-17T16:45:48Z</dcterms:created>
  <dcterms:modified xsi:type="dcterms:W3CDTF">2026-02-19T16:21:46Z</dcterms:modified>
  <cp:category/>
  <dc:language>en-US</dc:language>
</cp:coreProperties>
</file>