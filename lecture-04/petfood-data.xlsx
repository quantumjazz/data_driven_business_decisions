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victor/Documents/Courses/Data Driven Business Decisions/lecture-04/"/>
    </mc:Choice>
  </mc:AlternateContent>
  <xr:revisionPtr revIDLastSave="0" documentId="13_ncr:1_{5CB0453F-079B-E749-855F-DBE8FCF00932}" xr6:coauthVersionLast="47" xr6:coauthVersionMax="47" xr10:uidLastSave="{00000000-0000-0000-0000-000000000000}"/>
  <bookViews>
    <workbookView xWindow="18020" yWindow="780" windowWidth="17980" windowHeight="21520" tabRatio="500" xr2:uid="{00000000-000D-0000-FFFF-FFFF00000000}"/>
  </bookViews>
  <sheets>
    <sheet name="Месечни продажби" sheetId="1" r:id="rId1"/>
    <sheet name="Обобщение" sheetId="2" r:id="rId2"/>
    <sheet name="Прогнозиране" sheetId="3" r:id="rId3"/>
  </sheets>
  <definedNames>
    <definedName name="_xlnm._FilterDatabase" localSheetId="0" hidden="1">'Месечни продажби'!$A$1:$I$25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3" l="1"/>
  <c r="B28" i="3"/>
  <c r="C28" i="3" s="1"/>
  <c r="A28" i="3"/>
  <c r="B27" i="3"/>
  <c r="A27" i="3"/>
  <c r="B26" i="3"/>
  <c r="C26" i="3" s="1"/>
  <c r="A26" i="3"/>
  <c r="B25" i="3"/>
  <c r="C27" i="3" s="1"/>
  <c r="A25" i="3"/>
  <c r="B24" i="3"/>
  <c r="A24" i="3"/>
  <c r="B23" i="3"/>
  <c r="C24" i="3" s="1"/>
  <c r="A23" i="3"/>
  <c r="B22" i="3"/>
  <c r="D27" i="3" s="1"/>
  <c r="A22" i="3"/>
  <c r="B21" i="3"/>
  <c r="C21" i="3" s="1"/>
  <c r="A21" i="3"/>
  <c r="B20" i="3"/>
  <c r="C22" i="3" s="1"/>
  <c r="A20" i="3"/>
  <c r="B19" i="3"/>
  <c r="D24" i="3" s="1"/>
  <c r="A19" i="3"/>
  <c r="B18" i="3"/>
  <c r="C19" i="3" s="1"/>
  <c r="A18" i="3"/>
  <c r="B17" i="3"/>
  <c r="D22" i="3" s="1"/>
  <c r="A17" i="3"/>
  <c r="B16" i="3"/>
  <c r="C16" i="3" s="1"/>
  <c r="A16" i="3"/>
  <c r="B15" i="3"/>
  <c r="C17" i="3" s="1"/>
  <c r="A15" i="3"/>
  <c r="B14" i="3"/>
  <c r="D19" i="3" s="1"/>
  <c r="A14" i="3"/>
  <c r="B13" i="3"/>
  <c r="C14" i="3" s="1"/>
  <c r="A13" i="3"/>
  <c r="B12" i="3"/>
  <c r="D17" i="3" s="1"/>
  <c r="A12" i="3"/>
  <c r="B11" i="3"/>
  <c r="C11" i="3" s="1"/>
  <c r="A11" i="3"/>
  <c r="D10" i="3"/>
  <c r="B10" i="3"/>
  <c r="C12" i="3" s="1"/>
  <c r="A10" i="3"/>
  <c r="B9" i="3"/>
  <c r="D14" i="3" s="1"/>
  <c r="A9" i="3"/>
  <c r="B8" i="3"/>
  <c r="C8" i="3" s="1"/>
  <c r="A8" i="3"/>
  <c r="C7" i="3"/>
  <c r="B7" i="3"/>
  <c r="D12" i="3" s="1"/>
  <c r="A7" i="3"/>
  <c r="B6" i="3"/>
  <c r="A6" i="3"/>
  <c r="B5" i="3"/>
  <c r="D35" i="3" s="1"/>
  <c r="A5" i="3"/>
  <c r="C7" i="2"/>
  <c r="D7" i="2" s="1"/>
  <c r="B7" i="2"/>
  <c r="C5" i="2"/>
  <c r="D5" i="2" s="1"/>
  <c r="B5" i="2"/>
  <c r="C4" i="2"/>
  <c r="D4" i="2" s="1"/>
  <c r="B4" i="2"/>
  <c r="C3" i="2"/>
  <c r="D3" i="2" s="1"/>
  <c r="B3" i="2"/>
  <c r="C2" i="2"/>
  <c r="C6" i="2" s="1"/>
  <c r="D6" i="2" s="1"/>
  <c r="B2" i="2"/>
  <c r="B6" i="2" s="1"/>
  <c r="D15" i="3" l="1"/>
  <c r="D20" i="3"/>
  <c r="D25" i="3"/>
  <c r="C13" i="3"/>
  <c r="C18" i="3"/>
  <c r="C33" i="3"/>
  <c r="D11" i="3"/>
  <c r="D16" i="3"/>
  <c r="D21" i="3"/>
  <c r="D26" i="3"/>
  <c r="C10" i="3"/>
  <c r="C15" i="3"/>
  <c r="C20" i="3"/>
  <c r="C25" i="3"/>
  <c r="C9" i="3"/>
  <c r="D34" i="3"/>
  <c r="C23" i="3"/>
  <c r="D33" i="3"/>
  <c r="C35" i="3"/>
  <c r="D13" i="3"/>
  <c r="D18" i="3"/>
  <c r="D23" i="3"/>
  <c r="D28" i="3"/>
  <c r="D2" i="2"/>
</calcChain>
</file>

<file path=xl/sharedStrings.xml><?xml version="1.0" encoding="utf-8"?>
<sst xmlns="http://schemas.openxmlformats.org/spreadsheetml/2006/main" count="82" uniqueCount="66">
  <si>
    <t>Дата</t>
  </si>
  <si>
    <t>Месец</t>
  </si>
  <si>
    <t>Година</t>
  </si>
  <si>
    <t>Период</t>
  </si>
  <si>
    <t>Суха храна (кг)</t>
  </si>
  <si>
    <t>Консерви (бр.)</t>
  </si>
  <si>
    <t>Лакомства (бр.)</t>
  </si>
  <si>
    <t>Общ приход (лв.)</t>
  </si>
  <si>
    <t>Брой клиенти</t>
  </si>
  <si>
    <t>Януари</t>
  </si>
  <si>
    <t>Януари 2024</t>
  </si>
  <si>
    <t>Февруари</t>
  </si>
  <si>
    <t>Февруари 2024</t>
  </si>
  <si>
    <t>Март</t>
  </si>
  <si>
    <t>Март 2024</t>
  </si>
  <si>
    <t>Април</t>
  </si>
  <si>
    <t>Април 2024</t>
  </si>
  <si>
    <t>Май</t>
  </si>
  <si>
    <t>Май 2024</t>
  </si>
  <si>
    <t>Юни</t>
  </si>
  <si>
    <t>Юни 2024</t>
  </si>
  <si>
    <t>Юли</t>
  </si>
  <si>
    <t>Юли 2024</t>
  </si>
  <si>
    <t>Август</t>
  </si>
  <si>
    <t>Август 2024</t>
  </si>
  <si>
    <t>Септември</t>
  </si>
  <si>
    <t>Септември 2024</t>
  </si>
  <si>
    <t>Октомври</t>
  </si>
  <si>
    <t>Октомври 2024</t>
  </si>
  <si>
    <t>Ноември</t>
  </si>
  <si>
    <t>Ноември 2024</t>
  </si>
  <si>
    <t>Декември</t>
  </si>
  <si>
    <t>Декември 2024</t>
  </si>
  <si>
    <t>Януари 2025</t>
  </si>
  <si>
    <t>Февруари 2025</t>
  </si>
  <si>
    <t>Март 2025</t>
  </si>
  <si>
    <t>Април 2025</t>
  </si>
  <si>
    <t>Май 2025</t>
  </si>
  <si>
    <t>Юни 2025</t>
  </si>
  <si>
    <t>Юли 2025</t>
  </si>
  <si>
    <t>Август 2025</t>
  </si>
  <si>
    <t>Септември 2025</t>
  </si>
  <si>
    <t>Октомври 2025</t>
  </si>
  <si>
    <t>Ноември 2025</t>
  </si>
  <si>
    <t>Декември 2025</t>
  </si>
  <si>
    <t>Показател</t>
  </si>
  <si>
    <t>2024</t>
  </si>
  <si>
    <t>2025</t>
  </si>
  <si>
    <t>Промяна (%)</t>
  </si>
  <si>
    <t>Суха храна (кг) - общо</t>
  </si>
  <si>
    <t>Консерви (бр.) - общо</t>
  </si>
  <si>
    <t>Лакомства (бр.) - общо</t>
  </si>
  <si>
    <t>Среден месечен приход (лв.)</t>
  </si>
  <si>
    <t>Общо клиенти</t>
  </si>
  <si>
    <t>Прогнозиране на продажбите: ПетФууд</t>
  </si>
  <si>
    <t>Част 1: Пълзяща средна (Moving Average)</t>
  </si>
  <si>
    <t>MA-3</t>
  </si>
  <si>
    <t>MA-6</t>
  </si>
  <si>
    <t>Част 2: Тренд линия и FORECAST</t>
  </si>
  <si>
    <t>Прогноза за следващите 3 месеца:</t>
  </si>
  <si>
    <t>Номер на месец</t>
  </si>
  <si>
    <t>FORECAST прогноза (лв.)</t>
  </si>
  <si>
    <t>TREND прогноза (лв.)</t>
  </si>
  <si>
    <t>Януари 2026</t>
  </si>
  <si>
    <t>Февруари 2026</t>
  </si>
  <si>
    <t>Март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</si>
</sst>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color rgb="FF1A1A2E"/>
      <name val="Arial"/>
      <family val="2"/>
    </font>
    <font>
      <b/>
      <sz val="12"/>
      <color rgb="FF2563E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0F4FF"/>
        <bgColor rgb="FFFFFFFF"/>
      </patternFill>
    </fill>
    <fill>
      <patternFill patternType="solid">
        <fgColor rgb="FFFFFDE7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3" fillId="0" borderId="0" xfId="0" applyFont="1"/>
    <xf numFmtId="3" fontId="2" fillId="0" borderId="0" xfId="0" applyNumberFormat="1" applyFont="1" applyAlignment="1">
      <alignment horizontal="right"/>
    </xf>
    <xf numFmtId="165" fontId="2" fillId="0" borderId="0" xfId="0" applyNumberFormat="1" applyFont="1"/>
    <xf numFmtId="0" fontId="4" fillId="0" borderId="0" xfId="0" applyFont="1"/>
    <xf numFmtId="0" fontId="2" fillId="0" borderId="0" xfId="0" applyFont="1"/>
    <xf numFmtId="4" fontId="2" fillId="0" borderId="0" xfId="0" applyNumberFormat="1" applyFont="1"/>
    <xf numFmtId="0" fontId="2" fillId="4" borderId="0" xfId="0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F0F4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Normal="100" workbookViewId="0"/>
  </sheetViews>
  <sheetFormatPr baseColWidth="10" defaultColWidth="8.6640625" defaultRowHeight="15" customHeight="1" x14ac:dyDescent="0.2"/>
  <cols>
    <col min="1" max="2" width="14" customWidth="1"/>
    <col min="3" max="3" width="8" customWidth="1"/>
    <col min="4" max="5" width="18" customWidth="1"/>
    <col min="6" max="7" width="16" customWidth="1"/>
    <col min="8" max="8" width="18" customWidth="1"/>
    <col min="9" max="9" width="14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45292</v>
      </c>
      <c r="B2" s="3" t="s">
        <v>9</v>
      </c>
      <c r="C2" s="3">
        <v>2024</v>
      </c>
      <c r="D2" s="3" t="s">
        <v>10</v>
      </c>
      <c r="E2" s="4">
        <v>457</v>
      </c>
      <c r="F2" s="4">
        <v>322</v>
      </c>
      <c r="G2" s="4">
        <v>190</v>
      </c>
      <c r="H2" s="5">
        <v>5313.9</v>
      </c>
      <c r="I2" s="4">
        <v>263</v>
      </c>
    </row>
    <row r="3" spans="1:9" x14ac:dyDescent="0.2">
      <c r="A3" s="2">
        <v>45323</v>
      </c>
      <c r="B3" s="3" t="s">
        <v>11</v>
      </c>
      <c r="C3" s="3">
        <v>2024</v>
      </c>
      <c r="D3" s="3" t="s">
        <v>12</v>
      </c>
      <c r="E3" s="4">
        <v>443</v>
      </c>
      <c r="F3" s="4">
        <v>324</v>
      </c>
      <c r="G3" s="4">
        <v>199</v>
      </c>
      <c r="H3" s="5">
        <v>5220.2</v>
      </c>
      <c r="I3" s="4">
        <v>272</v>
      </c>
    </row>
    <row r="4" spans="1:9" x14ac:dyDescent="0.2">
      <c r="A4" s="2">
        <v>45352</v>
      </c>
      <c r="B4" s="3" t="s">
        <v>13</v>
      </c>
      <c r="C4" s="3">
        <v>2024</v>
      </c>
      <c r="D4" s="3" t="s">
        <v>14</v>
      </c>
      <c r="E4" s="4">
        <v>433</v>
      </c>
      <c r="F4" s="4">
        <v>326</v>
      </c>
      <c r="G4" s="4">
        <v>181</v>
      </c>
      <c r="H4" s="5">
        <v>5103.8</v>
      </c>
      <c r="I4" s="4">
        <v>254</v>
      </c>
    </row>
    <row r="5" spans="1:9" x14ac:dyDescent="0.2">
      <c r="A5" s="2">
        <v>45383</v>
      </c>
      <c r="B5" s="3" t="s">
        <v>15</v>
      </c>
      <c r="C5" s="3">
        <v>2024</v>
      </c>
      <c r="D5" s="3" t="s">
        <v>16</v>
      </c>
      <c r="E5" s="4">
        <v>423</v>
      </c>
      <c r="F5" s="4">
        <v>320</v>
      </c>
      <c r="G5" s="4">
        <v>185</v>
      </c>
      <c r="H5" s="5">
        <v>5008</v>
      </c>
      <c r="I5" s="4">
        <v>267</v>
      </c>
    </row>
    <row r="6" spans="1:9" x14ac:dyDescent="0.2">
      <c r="A6" s="2">
        <v>45413</v>
      </c>
      <c r="B6" s="3" t="s">
        <v>17</v>
      </c>
      <c r="C6" s="3">
        <v>2024</v>
      </c>
      <c r="D6" s="3" t="s">
        <v>18</v>
      </c>
      <c r="E6" s="4">
        <v>422</v>
      </c>
      <c r="F6" s="4">
        <v>310</v>
      </c>
      <c r="G6" s="4">
        <v>174</v>
      </c>
      <c r="H6" s="5">
        <v>4944.3999999999996</v>
      </c>
      <c r="I6" s="4">
        <v>257</v>
      </c>
    </row>
    <row r="7" spans="1:9" x14ac:dyDescent="0.2">
      <c r="A7" s="2">
        <v>45444</v>
      </c>
      <c r="B7" s="3" t="s">
        <v>19</v>
      </c>
      <c r="C7" s="3">
        <v>2024</v>
      </c>
      <c r="D7" s="3" t="s">
        <v>20</v>
      </c>
      <c r="E7" s="4">
        <v>407</v>
      </c>
      <c r="F7" s="4">
        <v>313</v>
      </c>
      <c r="G7" s="4">
        <v>181</v>
      </c>
      <c r="H7" s="5">
        <v>4841.2</v>
      </c>
      <c r="I7" s="4">
        <v>242</v>
      </c>
    </row>
    <row r="8" spans="1:9" x14ac:dyDescent="0.2">
      <c r="A8" s="2">
        <v>45474</v>
      </c>
      <c r="B8" s="3" t="s">
        <v>21</v>
      </c>
      <c r="C8" s="3">
        <v>2024</v>
      </c>
      <c r="D8" s="3" t="s">
        <v>22</v>
      </c>
      <c r="E8" s="4">
        <v>414</v>
      </c>
      <c r="F8" s="4">
        <v>298</v>
      </c>
      <c r="G8" s="4">
        <v>169</v>
      </c>
      <c r="H8" s="5">
        <v>4827.5</v>
      </c>
      <c r="I8" s="4">
        <v>262</v>
      </c>
    </row>
    <row r="9" spans="1:9" x14ac:dyDescent="0.2">
      <c r="A9" s="2">
        <v>45505</v>
      </c>
      <c r="B9" s="3" t="s">
        <v>23</v>
      </c>
      <c r="C9" s="3">
        <v>2024</v>
      </c>
      <c r="D9" s="3" t="s">
        <v>24</v>
      </c>
      <c r="E9" s="4">
        <v>437</v>
      </c>
      <c r="F9" s="4">
        <v>308</v>
      </c>
      <c r="G9" s="4">
        <v>182</v>
      </c>
      <c r="H9" s="5">
        <v>5082.3</v>
      </c>
      <c r="I9" s="4">
        <v>256</v>
      </c>
    </row>
    <row r="10" spans="1:9" x14ac:dyDescent="0.2">
      <c r="A10" s="2">
        <v>45536</v>
      </c>
      <c r="B10" s="3" t="s">
        <v>25</v>
      </c>
      <c r="C10" s="3">
        <v>2024</v>
      </c>
      <c r="D10" s="3" t="s">
        <v>26</v>
      </c>
      <c r="E10" s="4">
        <v>471</v>
      </c>
      <c r="F10" s="4">
        <v>343</v>
      </c>
      <c r="G10" s="4">
        <v>204</v>
      </c>
      <c r="H10" s="5">
        <v>5529.5</v>
      </c>
      <c r="I10" s="4">
        <v>293</v>
      </c>
    </row>
    <row r="11" spans="1:9" x14ac:dyDescent="0.2">
      <c r="A11" s="2">
        <v>45566</v>
      </c>
      <c r="B11" s="3" t="s">
        <v>27</v>
      </c>
      <c r="C11" s="3">
        <v>2024</v>
      </c>
      <c r="D11" s="3" t="s">
        <v>28</v>
      </c>
      <c r="E11" s="4">
        <v>497</v>
      </c>
      <c r="F11" s="4">
        <v>356</v>
      </c>
      <c r="G11" s="4">
        <v>222</v>
      </c>
      <c r="H11" s="5">
        <v>5829.9</v>
      </c>
      <c r="I11" s="4">
        <v>288</v>
      </c>
    </row>
    <row r="12" spans="1:9" x14ac:dyDescent="0.2">
      <c r="A12" s="2">
        <v>45597</v>
      </c>
      <c r="B12" s="3" t="s">
        <v>29</v>
      </c>
      <c r="C12" s="3">
        <v>2024</v>
      </c>
      <c r="D12" s="3" t="s">
        <v>30</v>
      </c>
      <c r="E12" s="4">
        <v>527</v>
      </c>
      <c r="F12" s="4">
        <v>398</v>
      </c>
      <c r="G12" s="4">
        <v>228</v>
      </c>
      <c r="H12" s="5">
        <v>6231.9</v>
      </c>
      <c r="I12" s="4">
        <v>335</v>
      </c>
    </row>
    <row r="13" spans="1:9" x14ac:dyDescent="0.2">
      <c r="A13" s="2">
        <v>45627</v>
      </c>
      <c r="B13" s="3" t="s">
        <v>31</v>
      </c>
      <c r="C13" s="3">
        <v>2024</v>
      </c>
      <c r="D13" s="3" t="s">
        <v>32</v>
      </c>
      <c r="E13" s="4">
        <v>559</v>
      </c>
      <c r="F13" s="4">
        <v>406</v>
      </c>
      <c r="G13" s="4">
        <v>231</v>
      </c>
      <c r="H13" s="5">
        <v>6535.8</v>
      </c>
      <c r="I13" s="4">
        <v>341</v>
      </c>
    </row>
    <row r="14" spans="1:9" x14ac:dyDescent="0.2">
      <c r="A14" s="2">
        <v>45658</v>
      </c>
      <c r="B14" s="3" t="s">
        <v>9</v>
      </c>
      <c r="C14" s="3">
        <v>2025</v>
      </c>
      <c r="D14" s="3" t="s">
        <v>33</v>
      </c>
      <c r="E14" s="4">
        <v>608</v>
      </c>
      <c r="F14" s="4">
        <v>432</v>
      </c>
      <c r="G14" s="4">
        <v>306</v>
      </c>
      <c r="H14" s="5">
        <v>7193</v>
      </c>
      <c r="I14" s="4">
        <v>369</v>
      </c>
    </row>
    <row r="15" spans="1:9" x14ac:dyDescent="0.2">
      <c r="A15" s="2">
        <v>45689</v>
      </c>
      <c r="B15" s="3" t="s">
        <v>11</v>
      </c>
      <c r="C15" s="3">
        <v>2025</v>
      </c>
      <c r="D15" s="3" t="s">
        <v>34</v>
      </c>
      <c r="E15" s="4">
        <v>629</v>
      </c>
      <c r="F15" s="4">
        <v>434</v>
      </c>
      <c r="G15" s="4">
        <v>316</v>
      </c>
      <c r="H15" s="5">
        <v>7398.9</v>
      </c>
      <c r="I15" s="4">
        <v>397</v>
      </c>
    </row>
    <row r="16" spans="1:9" x14ac:dyDescent="0.2">
      <c r="A16" s="2">
        <v>45717</v>
      </c>
      <c r="B16" s="3" t="s">
        <v>13</v>
      </c>
      <c r="C16" s="3">
        <v>2025</v>
      </c>
      <c r="D16" s="3" t="s">
        <v>35</v>
      </c>
      <c r="E16" s="4">
        <v>596</v>
      </c>
      <c r="F16" s="4">
        <v>423</v>
      </c>
      <c r="G16" s="4">
        <v>301</v>
      </c>
      <c r="H16" s="5">
        <v>7051.7</v>
      </c>
      <c r="I16" s="4">
        <v>363</v>
      </c>
    </row>
    <row r="17" spans="1:9" x14ac:dyDescent="0.2">
      <c r="A17" s="2">
        <v>45748</v>
      </c>
      <c r="B17" s="3" t="s">
        <v>15</v>
      </c>
      <c r="C17" s="3">
        <v>2025</v>
      </c>
      <c r="D17" s="3" t="s">
        <v>36</v>
      </c>
      <c r="E17" s="4">
        <v>587</v>
      </c>
      <c r="F17" s="4">
        <v>418</v>
      </c>
      <c r="G17" s="4">
        <v>287</v>
      </c>
      <c r="H17" s="5">
        <v>6929.8</v>
      </c>
      <c r="I17" s="4">
        <v>367</v>
      </c>
    </row>
    <row r="18" spans="1:9" x14ac:dyDescent="0.2">
      <c r="A18" s="2">
        <v>45778</v>
      </c>
      <c r="B18" s="3" t="s">
        <v>17</v>
      </c>
      <c r="C18" s="3">
        <v>2025</v>
      </c>
      <c r="D18" s="3" t="s">
        <v>37</v>
      </c>
      <c r="E18" s="4">
        <v>552</v>
      </c>
      <c r="F18" s="4">
        <v>408</v>
      </c>
      <c r="G18" s="4">
        <v>281</v>
      </c>
      <c r="H18" s="5">
        <v>6587.7</v>
      </c>
      <c r="I18" s="4">
        <v>344</v>
      </c>
    </row>
    <row r="19" spans="1:9" x14ac:dyDescent="0.2">
      <c r="A19" s="2">
        <v>45809</v>
      </c>
      <c r="B19" s="3" t="s">
        <v>19</v>
      </c>
      <c r="C19" s="3">
        <v>2025</v>
      </c>
      <c r="D19" s="3" t="s">
        <v>38</v>
      </c>
      <c r="E19" s="4">
        <v>545</v>
      </c>
      <c r="F19" s="4">
        <v>407</v>
      </c>
      <c r="G19" s="4">
        <v>291</v>
      </c>
      <c r="H19" s="5">
        <v>6546</v>
      </c>
      <c r="I19" s="4">
        <v>340</v>
      </c>
    </row>
    <row r="20" spans="1:9" x14ac:dyDescent="0.2">
      <c r="A20" s="2">
        <v>45839</v>
      </c>
      <c r="B20" s="3" t="s">
        <v>21</v>
      </c>
      <c r="C20" s="3">
        <v>2025</v>
      </c>
      <c r="D20" s="3" t="s">
        <v>39</v>
      </c>
      <c r="E20" s="4">
        <v>554</v>
      </c>
      <c r="F20" s="4">
        <v>401</v>
      </c>
      <c r="G20" s="4">
        <v>291</v>
      </c>
      <c r="H20" s="5">
        <v>6603.3</v>
      </c>
      <c r="I20" s="4">
        <v>341</v>
      </c>
    </row>
    <row r="21" spans="1:9" x14ac:dyDescent="0.2">
      <c r="A21" s="2">
        <v>45870</v>
      </c>
      <c r="B21" s="3" t="s">
        <v>23</v>
      </c>
      <c r="C21" s="3">
        <v>2025</v>
      </c>
      <c r="D21" s="3" t="s">
        <v>40</v>
      </c>
      <c r="E21" s="4">
        <v>586</v>
      </c>
      <c r="F21" s="4">
        <v>419</v>
      </c>
      <c r="G21" s="4">
        <v>294</v>
      </c>
      <c r="H21" s="5">
        <v>6939.2</v>
      </c>
      <c r="I21" s="4">
        <v>351</v>
      </c>
    </row>
    <row r="22" spans="1:9" x14ac:dyDescent="0.2">
      <c r="A22" s="2">
        <v>45901</v>
      </c>
      <c r="B22" s="3" t="s">
        <v>25</v>
      </c>
      <c r="C22" s="3">
        <v>2025</v>
      </c>
      <c r="D22" s="3" t="s">
        <v>41</v>
      </c>
      <c r="E22" s="4">
        <v>604</v>
      </c>
      <c r="F22" s="4">
        <v>453</v>
      </c>
      <c r="G22" s="4">
        <v>329</v>
      </c>
      <c r="H22" s="5">
        <v>7274.5</v>
      </c>
      <c r="I22" s="4">
        <v>383</v>
      </c>
    </row>
    <row r="23" spans="1:9" x14ac:dyDescent="0.2">
      <c r="A23" s="2">
        <v>45931</v>
      </c>
      <c r="B23" s="3" t="s">
        <v>27</v>
      </c>
      <c r="C23" s="3">
        <v>2025</v>
      </c>
      <c r="D23" s="3" t="s">
        <v>42</v>
      </c>
      <c r="E23" s="4">
        <v>650</v>
      </c>
      <c r="F23" s="4">
        <v>471</v>
      </c>
      <c r="G23" s="4">
        <v>355</v>
      </c>
      <c r="H23" s="5">
        <v>7777.7</v>
      </c>
      <c r="I23" s="4">
        <v>418</v>
      </c>
    </row>
    <row r="24" spans="1:9" x14ac:dyDescent="0.2">
      <c r="A24" s="2">
        <v>45962</v>
      </c>
      <c r="B24" s="3" t="s">
        <v>29</v>
      </c>
      <c r="C24" s="3">
        <v>2025</v>
      </c>
      <c r="D24" s="3" t="s">
        <v>43</v>
      </c>
      <c r="E24" s="4">
        <v>694</v>
      </c>
      <c r="F24" s="4">
        <v>486</v>
      </c>
      <c r="G24" s="4">
        <v>350</v>
      </c>
      <c r="H24" s="5">
        <v>8189.2</v>
      </c>
      <c r="I24" s="4">
        <v>430</v>
      </c>
    </row>
    <row r="25" spans="1:9" x14ac:dyDescent="0.2">
      <c r="A25" s="2">
        <v>45992</v>
      </c>
      <c r="B25" s="3" t="s">
        <v>31</v>
      </c>
      <c r="C25" s="3">
        <v>2025</v>
      </c>
      <c r="D25" s="3" t="s">
        <v>44</v>
      </c>
      <c r="E25" s="4">
        <v>747</v>
      </c>
      <c r="F25" s="4">
        <v>541</v>
      </c>
      <c r="G25" s="4">
        <v>382</v>
      </c>
      <c r="H25" s="5">
        <v>8882.9</v>
      </c>
      <c r="I25" s="4">
        <v>471</v>
      </c>
    </row>
  </sheetData>
  <autoFilter ref="A1:I2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100" workbookViewId="0"/>
  </sheetViews>
  <sheetFormatPr baseColWidth="10" defaultColWidth="8.6640625" defaultRowHeight="15" customHeight="1" x14ac:dyDescent="0.2"/>
  <cols>
    <col min="1" max="1" width="30" customWidth="1"/>
    <col min="2" max="3" width="16" customWidth="1"/>
    <col min="4" max="4" width="14" customWidth="1"/>
  </cols>
  <sheetData>
    <row r="1" spans="1:4" x14ac:dyDescent="0.2">
      <c r="A1" s="1" t="s">
        <v>45</v>
      </c>
      <c r="B1" s="1" t="s">
        <v>46</v>
      </c>
      <c r="C1" s="1" t="s">
        <v>47</v>
      </c>
      <c r="D1" s="1" t="s">
        <v>48</v>
      </c>
    </row>
    <row r="2" spans="1:4" x14ac:dyDescent="0.2">
      <c r="A2" s="6" t="s">
        <v>7</v>
      </c>
      <c r="B2" s="7">
        <f>SUMPRODUCT(('Месечни продажби'!C2:C25=2024)*('Месечни продажби'!H2:H25))</f>
        <v>64468.400000000009</v>
      </c>
      <c r="C2" s="7">
        <f>SUMPRODUCT(('Месечни продажби'!C2:C25=2025)*('Месечни продажби'!H2:H25))</f>
        <v>87373.9</v>
      </c>
      <c r="D2" s="8">
        <f t="shared" ref="D2:D7" si="0">(C2-B2)/B2</f>
        <v>0.35529809953403502</v>
      </c>
    </row>
    <row r="3" spans="1:4" x14ac:dyDescent="0.2">
      <c r="A3" s="6" t="s">
        <v>49</v>
      </c>
      <c r="B3" s="7">
        <f>SUMPRODUCT(('Месечни продажби'!C2:C25=2024)*('Месечни продажби'!E2:E25))</f>
        <v>5490</v>
      </c>
      <c r="C3" s="7">
        <f>SUMPRODUCT(('Месечни продажби'!C2:C25=2025)*('Месечни продажби'!E2:E25))</f>
        <v>7352</v>
      </c>
      <c r="D3" s="8">
        <f t="shared" si="0"/>
        <v>0.33916211293260473</v>
      </c>
    </row>
    <row r="4" spans="1:4" x14ac:dyDescent="0.2">
      <c r="A4" s="6" t="s">
        <v>50</v>
      </c>
      <c r="B4" s="7">
        <f>SUMPRODUCT(('Месечни продажби'!C2:C25=2024)*('Месечни продажби'!F2:F25))</f>
        <v>4024</v>
      </c>
      <c r="C4" s="7">
        <f>SUMPRODUCT(('Месечни продажби'!C2:C25=2025)*('Месечни продажби'!F2:F25))</f>
        <v>5293</v>
      </c>
      <c r="D4" s="8">
        <f t="shared" si="0"/>
        <v>0.31535785288270379</v>
      </c>
    </row>
    <row r="5" spans="1:4" x14ac:dyDescent="0.2">
      <c r="A5" s="6" t="s">
        <v>51</v>
      </c>
      <c r="B5" s="7">
        <f>SUMPRODUCT(('Месечни продажби'!C2:C25=2024)*('Месечни продажби'!G2:G25))</f>
        <v>2346</v>
      </c>
      <c r="C5" s="7">
        <f>SUMPRODUCT(('Месечни продажби'!C2:C25=2025)*('Месечни продажби'!G2:G25))</f>
        <v>3783</v>
      </c>
      <c r="D5" s="8">
        <f t="shared" si="0"/>
        <v>0.61253196930946296</v>
      </c>
    </row>
    <row r="6" spans="1:4" x14ac:dyDescent="0.2">
      <c r="A6" s="6" t="s">
        <v>52</v>
      </c>
      <c r="B6" s="7">
        <f>B2/12</f>
        <v>5372.3666666666677</v>
      </c>
      <c r="C6" s="7">
        <f>C2/12</f>
        <v>7281.1583333333328</v>
      </c>
      <c r="D6" s="8">
        <f t="shared" si="0"/>
        <v>0.35529809953403491</v>
      </c>
    </row>
    <row r="7" spans="1:4" x14ac:dyDescent="0.2">
      <c r="A7" s="6" t="s">
        <v>53</v>
      </c>
      <c r="B7" s="7">
        <f>SUMPRODUCT(('Месечни продажби'!C2:C25=2024)*('Месечни продажби'!I2:I25))</f>
        <v>3330</v>
      </c>
      <c r="C7" s="7">
        <f>SUMPRODUCT(('Месечни продажби'!C2:C25=2025)*('Месечни продажби'!I2:I25))</f>
        <v>4574</v>
      </c>
      <c r="D7" s="8">
        <f t="shared" si="0"/>
        <v>0.37357357357357357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zoomScaleNormal="100" workbookViewId="0"/>
  </sheetViews>
  <sheetFormatPr baseColWidth="10" defaultColWidth="8.6640625" defaultRowHeight="15" customHeight="1" x14ac:dyDescent="0.2"/>
  <cols>
    <col min="1" max="1" width="22" customWidth="1"/>
    <col min="2" max="2" width="20" customWidth="1"/>
    <col min="3" max="3" width="24" customWidth="1"/>
    <col min="4" max="4" width="22" customWidth="1"/>
  </cols>
  <sheetData>
    <row r="1" spans="1:6" ht="18" x14ac:dyDescent="0.2">
      <c r="A1" s="9" t="s">
        <v>54</v>
      </c>
    </row>
    <row r="3" spans="1:6" ht="16" x14ac:dyDescent="0.2">
      <c r="A3" s="13" t="s">
        <v>55</v>
      </c>
      <c r="B3" s="13"/>
      <c r="C3" s="13"/>
      <c r="D3" s="13"/>
      <c r="E3" s="13"/>
      <c r="F3" s="13"/>
    </row>
    <row r="4" spans="1:6" x14ac:dyDescent="0.2">
      <c r="A4" s="1" t="s">
        <v>3</v>
      </c>
      <c r="B4" s="1" t="s">
        <v>7</v>
      </c>
      <c r="C4" s="1" t="s">
        <v>56</v>
      </c>
      <c r="D4" s="1" t="s">
        <v>57</v>
      </c>
    </row>
    <row r="5" spans="1:6" x14ac:dyDescent="0.2">
      <c r="A5" s="10" t="str">
        <f>'Месечни продажби'!D2</f>
        <v>Януари 2024</v>
      </c>
      <c r="B5" s="11">
        <f>'Месечни продажби'!H2</f>
        <v>5313.9</v>
      </c>
    </row>
    <row r="6" spans="1:6" x14ac:dyDescent="0.2">
      <c r="A6" s="10" t="str">
        <f>'Месечни продажби'!D3</f>
        <v>Февруари 2024</v>
      </c>
      <c r="B6" s="11">
        <f>'Месечни продажби'!H3</f>
        <v>5220.2</v>
      </c>
    </row>
    <row r="7" spans="1:6" x14ac:dyDescent="0.2">
      <c r="A7" s="10" t="str">
        <f>'Месечни продажби'!D4</f>
        <v>Март 2024</v>
      </c>
      <c r="B7" s="11">
        <f>'Месечни продажби'!H4</f>
        <v>5103.8</v>
      </c>
      <c r="C7" s="11">
        <f t="shared" ref="C7:C28" si="0">AVERAGE(B5:B7)</f>
        <v>5212.6333333333323</v>
      </c>
    </row>
    <row r="8" spans="1:6" x14ac:dyDescent="0.2">
      <c r="A8" s="10" t="str">
        <f>'Месечни продажби'!D5</f>
        <v>Април 2024</v>
      </c>
      <c r="B8" s="11">
        <f>'Месечни продажби'!H5</f>
        <v>5008</v>
      </c>
      <c r="C8" s="11">
        <f t="shared" si="0"/>
        <v>5110.666666666667</v>
      </c>
    </row>
    <row r="9" spans="1:6" x14ac:dyDescent="0.2">
      <c r="A9" s="10" t="str">
        <f>'Месечни продажби'!D6</f>
        <v>Май 2024</v>
      </c>
      <c r="B9" s="11">
        <f>'Месечни продажби'!H6</f>
        <v>4944.3999999999996</v>
      </c>
      <c r="C9" s="11">
        <f t="shared" si="0"/>
        <v>5018.7333333333327</v>
      </c>
    </row>
    <row r="10" spans="1:6" x14ac:dyDescent="0.2">
      <c r="A10" s="10" t="str">
        <f>'Месечни продажби'!D7</f>
        <v>Юни 2024</v>
      </c>
      <c r="B10" s="11">
        <f>'Месечни продажби'!H7</f>
        <v>4841.2</v>
      </c>
      <c r="C10" s="11">
        <f t="shared" si="0"/>
        <v>4931.2</v>
      </c>
      <c r="D10" s="11">
        <f t="shared" ref="D10:D28" si="1">AVERAGE(B5:B10)</f>
        <v>5071.9166666666661</v>
      </c>
    </row>
    <row r="11" spans="1:6" x14ac:dyDescent="0.2">
      <c r="A11" s="10" t="str">
        <f>'Месечни продажби'!D8</f>
        <v>Юли 2024</v>
      </c>
      <c r="B11" s="11">
        <f>'Месечни продажби'!H8</f>
        <v>4827.5</v>
      </c>
      <c r="C11" s="11">
        <f t="shared" si="0"/>
        <v>4871.0333333333328</v>
      </c>
      <c r="D11" s="11">
        <f t="shared" si="1"/>
        <v>4990.8500000000004</v>
      </c>
    </row>
    <row r="12" spans="1:6" x14ac:dyDescent="0.2">
      <c r="A12" s="10" t="str">
        <f>'Месечни продажби'!D9</f>
        <v>Август 2024</v>
      </c>
      <c r="B12" s="11">
        <f>'Месечни продажби'!H9</f>
        <v>5082.3</v>
      </c>
      <c r="C12" s="11">
        <f t="shared" si="0"/>
        <v>4917</v>
      </c>
      <c r="D12" s="11">
        <f t="shared" si="1"/>
        <v>4967.8666666666659</v>
      </c>
    </row>
    <row r="13" spans="1:6" x14ac:dyDescent="0.2">
      <c r="A13" s="10" t="str">
        <f>'Месечни продажби'!D10</f>
        <v>Септември 2024</v>
      </c>
      <c r="B13" s="11">
        <f>'Месечни продажби'!H10</f>
        <v>5529.5</v>
      </c>
      <c r="C13" s="11">
        <f t="shared" si="0"/>
        <v>5146.4333333333334</v>
      </c>
      <c r="D13" s="11">
        <f t="shared" si="1"/>
        <v>5038.8166666666666</v>
      </c>
    </row>
    <row r="14" spans="1:6" x14ac:dyDescent="0.2">
      <c r="A14" s="10" t="str">
        <f>'Месечни продажби'!D11</f>
        <v>Октомври 2024</v>
      </c>
      <c r="B14" s="11">
        <f>'Месечни продажби'!H11</f>
        <v>5829.9</v>
      </c>
      <c r="C14" s="11">
        <f t="shared" si="0"/>
        <v>5480.5666666666657</v>
      </c>
      <c r="D14" s="11">
        <f t="shared" si="1"/>
        <v>5175.7999999999993</v>
      </c>
    </row>
    <row r="15" spans="1:6" x14ac:dyDescent="0.2">
      <c r="A15" s="10" t="str">
        <f>'Месечни продажби'!D12</f>
        <v>Ноември 2024</v>
      </c>
      <c r="B15" s="11">
        <f>'Месечни продажби'!H12</f>
        <v>6231.9</v>
      </c>
      <c r="C15" s="11">
        <f t="shared" si="0"/>
        <v>5863.7666666666664</v>
      </c>
      <c r="D15" s="11">
        <f t="shared" si="1"/>
        <v>5390.3833333333341</v>
      </c>
    </row>
    <row r="16" spans="1:6" x14ac:dyDescent="0.2">
      <c r="A16" s="10" t="str">
        <f>'Месечни продажби'!D13</f>
        <v>Декември 2024</v>
      </c>
      <c r="B16" s="11">
        <f>'Месечни продажби'!H13</f>
        <v>6535.8</v>
      </c>
      <c r="C16" s="11">
        <f t="shared" si="0"/>
        <v>6199.2</v>
      </c>
      <c r="D16" s="11">
        <f t="shared" si="1"/>
        <v>5672.8166666666666</v>
      </c>
    </row>
    <row r="17" spans="1:6" x14ac:dyDescent="0.2">
      <c r="A17" s="10" t="str">
        <f>'Месечни продажби'!D14</f>
        <v>Януари 2025</v>
      </c>
      <c r="B17" s="11">
        <f>'Месечни продажби'!H14</f>
        <v>7193</v>
      </c>
      <c r="C17" s="11">
        <f t="shared" si="0"/>
        <v>6653.5666666666666</v>
      </c>
      <c r="D17" s="11">
        <f t="shared" si="1"/>
        <v>6067.0666666666657</v>
      </c>
    </row>
    <row r="18" spans="1:6" x14ac:dyDescent="0.2">
      <c r="A18" s="10" t="str">
        <f>'Месечни продажби'!D15</f>
        <v>Февруари 2025</v>
      </c>
      <c r="B18" s="11">
        <f>'Месечни продажби'!H15</f>
        <v>7398.9</v>
      </c>
      <c r="C18" s="11">
        <f t="shared" si="0"/>
        <v>7042.5666666666657</v>
      </c>
      <c r="D18" s="11">
        <f t="shared" si="1"/>
        <v>6453.166666666667</v>
      </c>
    </row>
    <row r="19" spans="1:6" x14ac:dyDescent="0.2">
      <c r="A19" s="10" t="str">
        <f>'Месечни продажби'!D16</f>
        <v>Март 2025</v>
      </c>
      <c r="B19" s="11">
        <f>'Месечни продажби'!H16</f>
        <v>7051.7</v>
      </c>
      <c r="C19" s="11">
        <f t="shared" si="0"/>
        <v>7214.5333333333328</v>
      </c>
      <c r="D19" s="11">
        <f t="shared" si="1"/>
        <v>6706.8666666666659</v>
      </c>
    </row>
    <row r="20" spans="1:6" x14ac:dyDescent="0.2">
      <c r="A20" s="10" t="str">
        <f>'Месечни продажби'!D17</f>
        <v>Април 2025</v>
      </c>
      <c r="B20" s="11">
        <f>'Месечни продажби'!H17</f>
        <v>6929.8</v>
      </c>
      <c r="C20" s="11">
        <f t="shared" si="0"/>
        <v>7126.7999999999993</v>
      </c>
      <c r="D20" s="11">
        <f t="shared" si="1"/>
        <v>6890.1833333333334</v>
      </c>
    </row>
    <row r="21" spans="1:6" x14ac:dyDescent="0.2">
      <c r="A21" s="10" t="str">
        <f>'Месечни продажби'!D18</f>
        <v>Май 2025</v>
      </c>
      <c r="B21" s="11">
        <f>'Месечни продажби'!H18</f>
        <v>6587.7</v>
      </c>
      <c r="C21" s="11">
        <f t="shared" si="0"/>
        <v>6856.4000000000005</v>
      </c>
      <c r="D21" s="11">
        <f t="shared" si="1"/>
        <v>6949.4833333333327</v>
      </c>
    </row>
    <row r="22" spans="1:6" x14ac:dyDescent="0.2">
      <c r="A22" s="10" t="str">
        <f>'Месечни продажби'!D19</f>
        <v>Юни 2025</v>
      </c>
      <c r="B22" s="11">
        <f>'Месечни продажби'!H19</f>
        <v>6546</v>
      </c>
      <c r="C22" s="11">
        <f t="shared" si="0"/>
        <v>6687.833333333333</v>
      </c>
      <c r="D22" s="11">
        <f t="shared" si="1"/>
        <v>6951.1833333333334</v>
      </c>
    </row>
    <row r="23" spans="1:6" x14ac:dyDescent="0.2">
      <c r="A23" s="10" t="str">
        <f>'Месечни продажби'!D20</f>
        <v>Юли 2025</v>
      </c>
      <c r="B23" s="11">
        <f>'Месечни продажби'!H20</f>
        <v>6603.3</v>
      </c>
      <c r="C23" s="11">
        <f t="shared" si="0"/>
        <v>6579</v>
      </c>
      <c r="D23" s="11">
        <f t="shared" si="1"/>
        <v>6852.9000000000005</v>
      </c>
    </row>
    <row r="24" spans="1:6" x14ac:dyDescent="0.2">
      <c r="A24" s="10" t="str">
        <f>'Месечни продажби'!D21</f>
        <v>Август 2025</v>
      </c>
      <c r="B24" s="11">
        <f>'Месечни продажби'!H21</f>
        <v>6939.2</v>
      </c>
      <c r="C24" s="11">
        <f t="shared" si="0"/>
        <v>6696.166666666667</v>
      </c>
      <c r="D24" s="11">
        <f t="shared" si="1"/>
        <v>6776.2833333333328</v>
      </c>
    </row>
    <row r="25" spans="1:6" x14ac:dyDescent="0.2">
      <c r="A25" s="10" t="str">
        <f>'Месечни продажби'!D22</f>
        <v>Септември 2025</v>
      </c>
      <c r="B25" s="11">
        <f>'Месечни продажби'!H22</f>
        <v>7274.5</v>
      </c>
      <c r="C25" s="11">
        <f t="shared" si="0"/>
        <v>6939</v>
      </c>
      <c r="D25" s="11">
        <f t="shared" si="1"/>
        <v>6813.416666666667</v>
      </c>
    </row>
    <row r="26" spans="1:6" x14ac:dyDescent="0.2">
      <c r="A26" s="10" t="str">
        <f>'Месечни продажби'!D23</f>
        <v>Октомври 2025</v>
      </c>
      <c r="B26" s="11">
        <f>'Месечни продажби'!H23</f>
        <v>7777.7</v>
      </c>
      <c r="C26" s="11">
        <f t="shared" si="0"/>
        <v>7330.4666666666672</v>
      </c>
      <c r="D26" s="11">
        <f t="shared" si="1"/>
        <v>6954.7333333333327</v>
      </c>
    </row>
    <row r="27" spans="1:6" x14ac:dyDescent="0.2">
      <c r="A27" s="10" t="str">
        <f>'Месечни продажби'!D24</f>
        <v>Ноември 2025</v>
      </c>
      <c r="B27" s="11">
        <f>'Месечни продажби'!H24</f>
        <v>8189.2</v>
      </c>
      <c r="C27" s="11">
        <f t="shared" si="0"/>
        <v>7747.1333333333341</v>
      </c>
      <c r="D27" s="11">
        <f t="shared" si="1"/>
        <v>7221.6499999999987</v>
      </c>
    </row>
    <row r="28" spans="1:6" x14ac:dyDescent="0.2">
      <c r="A28" s="10" t="str">
        <f>'Месечни продажби'!D25</f>
        <v>Декември 2025</v>
      </c>
      <c r="B28" s="11">
        <f>'Месечни продажби'!H25</f>
        <v>8882.9</v>
      </c>
      <c r="C28" s="11">
        <f t="shared" si="0"/>
        <v>8283.2666666666664</v>
      </c>
      <c r="D28" s="11">
        <f t="shared" si="1"/>
        <v>7611.1333333333341</v>
      </c>
    </row>
    <row r="30" spans="1:6" ht="16" x14ac:dyDescent="0.2">
      <c r="A30" s="13" t="s">
        <v>58</v>
      </c>
      <c r="B30" s="13"/>
      <c r="C30" s="13"/>
      <c r="D30" s="13"/>
      <c r="E30" s="13"/>
      <c r="F30" s="13"/>
    </row>
    <row r="31" spans="1:6" x14ac:dyDescent="0.2">
      <c r="A31" s="6" t="s">
        <v>59</v>
      </c>
    </row>
    <row r="32" spans="1:6" x14ac:dyDescent="0.2">
      <c r="A32" s="1" t="s">
        <v>3</v>
      </c>
      <c r="B32" s="1" t="s">
        <v>60</v>
      </c>
      <c r="C32" s="1" t="s">
        <v>61</v>
      </c>
      <c r="D32" s="1" t="s">
        <v>62</v>
      </c>
    </row>
    <row r="33" spans="1:4" x14ac:dyDescent="0.2">
      <c r="A33" s="10" t="s">
        <v>63</v>
      </c>
      <c r="B33" s="12">
        <v>25</v>
      </c>
      <c r="C33" s="11">
        <f>FORECAST(B33,B5:B28,ROW(B5:B28)-ROW(B5)+1)</f>
        <v>8169.8130434782615</v>
      </c>
      <c r="D33" s="11">
        <f>TREND(B5:B28,ROW(B5:B28)-ROW(B5)+1,B33)</f>
        <v>8169.8130434782615</v>
      </c>
    </row>
    <row r="34" spans="1:4" x14ac:dyDescent="0.2">
      <c r="A34" s="10" t="s">
        <v>64</v>
      </c>
      <c r="B34" s="12">
        <v>26</v>
      </c>
      <c r="C34" s="11">
        <f>FORECAST(B34,B5:B28,ROW(B5:B28)-ROW(B5)+1)</f>
        <v>8317.2570869565225</v>
      </c>
      <c r="D34" s="11">
        <f>TREND(B5:B28,ROW(B5:B28)-ROW(B5)+1,B34)</f>
        <v>8317.2570869565225</v>
      </c>
    </row>
    <row r="35" spans="1:4" x14ac:dyDescent="0.2">
      <c r="A35" s="10" t="s">
        <v>65</v>
      </c>
      <c r="B35" s="12">
        <v>27</v>
      </c>
      <c r="C35" s="11">
        <f>FORECAST(B35,B5:B28,ROW(B5:B28)-ROW(B5)+1)</f>
        <v>8464.7011304347834</v>
      </c>
      <c r="D35" s="11">
        <f>TREND(B5:B28,ROW(B5:B28)-ROW(B5)+1,B35)</f>
        <v>8464.7011304347834</v>
      </c>
    </row>
  </sheetData>
  <mergeCells count="2">
    <mergeCell ref="A3:F3"/>
    <mergeCell ref="A30:F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Месечни продажби</vt:lpstr>
      <vt:lpstr>Обобщение</vt:lpstr>
      <vt:lpstr>Прогнозиране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Victor Avramov</cp:lastModifiedBy>
  <cp:revision>0</cp:revision>
  <dcterms:created xsi:type="dcterms:W3CDTF">2026-03-28T10:18:48Z</dcterms:created>
  <dcterms:modified xsi:type="dcterms:W3CDTF">2026-03-28T12:44:11Z</dcterms:modified>
  <dc:language>en-US</dc:language>
</cp:coreProperties>
</file>